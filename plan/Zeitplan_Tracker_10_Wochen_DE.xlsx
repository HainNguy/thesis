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Wochenplan" sheetId="2" state="visible" r:id="rId4"/>
    <sheet name="Checklis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<sst xmlns="http://schemas.openxmlformats.org/spreadsheetml/2006/main" count="262" uniqueCount="139">
  <si>
    <t xml:space="preserve">Zeitplan Bachelorarbeit — 10-Wochen-Tracker</t>
  </si>
  <si>
    <t xml:space="preserve">Benchmarking Tabular Data Augmentation Techniques for Deep Clustering</t>
  </si>
  <si>
    <t xml:space="preserve">Offizielle Bearbeitungszeit</t>
  </si>
  <si>
    <t xml:space="preserve">15.06.2026 – 23.08.2026 (10 Wochen)</t>
  </si>
  <si>
    <t xml:space="preserve">Vorbereitungsphase</t>
  </si>
  <si>
    <t xml:space="preserve">bis 14.06.2026 (vor dem offiziellen Start)</t>
  </si>
  <si>
    <t xml:space="preserve">Wöchentlicher Umfang</t>
  </si>
  <si>
    <t xml:space="preserve">ca. 20–25 Stunden (Teilzeit)</t>
  </si>
  <si>
    <t xml:space="preserve">Gesamtaufwand (geplant)</t>
  </si>
  <si>
    <t xml:space="preserve">ca. 220 Stunden (offizielle Phase)</t>
  </si>
  <si>
    <t xml:space="preserve">Abgabetermin</t>
  </si>
  <si>
    <t xml:space="preserve">spätestens Sonntag, 23.08.2026</t>
  </si>
  <si>
    <t xml:space="preserve">Gesamtfortschritt</t>
  </si>
  <si>
    <t xml:space="preserve">Gantt-Übersicht</t>
  </si>
  <si>
    <t xml:space="preserve">Phase</t>
  </si>
  <si>
    <t xml:space="preserve">Schwerpunkt</t>
  </si>
  <si>
    <t xml:space="preserve">Vorl.
bis 14.06</t>
  </si>
  <si>
    <t xml:space="preserve">W1
15.06</t>
  </si>
  <si>
    <t xml:space="preserve">W2
22.06</t>
  </si>
  <si>
    <t xml:space="preserve">W3
29.06</t>
  </si>
  <si>
    <t xml:space="preserve">W4
06.07</t>
  </si>
  <si>
    <t xml:space="preserve">W5
13.07</t>
  </si>
  <si>
    <t xml:space="preserve">W6
20.07</t>
  </si>
  <si>
    <t xml:space="preserve">W7
27.07</t>
  </si>
  <si>
    <t xml:space="preserve">W8
03.08</t>
  </si>
  <si>
    <t xml:space="preserve">W9
10.08</t>
  </si>
  <si>
    <t xml:space="preserve">W10
17.08</t>
  </si>
  <si>
    <t xml:space="preserve">0</t>
  </si>
  <si>
    <t xml:space="preserve">Vorbereitung: Werkzeuge &amp; Umgebung</t>
  </si>
  <si>
    <t xml:space="preserve">A</t>
  </si>
  <si>
    <t xml:space="preserve">Literaturrecherche &amp; Konzeption</t>
  </si>
  <si>
    <t xml:space="preserve">B</t>
  </si>
  <si>
    <t xml:space="preserve">Implementierung des Benchmarks</t>
  </si>
  <si>
    <t xml:space="preserve">C</t>
  </si>
  <si>
    <t xml:space="preserve">Experimente &amp; Sensitivitätsstudien</t>
  </si>
  <si>
    <t xml:space="preserve">D</t>
  </si>
  <si>
    <t xml:space="preserve">Auswertung &amp; Schreiben</t>
  </si>
  <si>
    <t xml:space="preserve">E</t>
  </si>
  <si>
    <t xml:space="preserve">Überarbeitung &amp; Abgabe</t>
  </si>
  <si>
    <t xml:space="preserve">◆</t>
  </si>
  <si>
    <t xml:space="preserve">Meilensteine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</si>
  <si>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</si>
  <si>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</si>
  <si>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</si>
  <si>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</si>
  <si>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</si>
  <si>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</si>
  <si>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Bedienung: Aufgaben im Blatt „Checkliste“ auf „Ja“ setzen — der Gesamtfortschritt oben und die Spalte „Aufgaben erledigt“ im Blatt „Wochenplan“ aktualisieren sich automatisch.</t>
  </si>
  <si>
    <t xml:space="preserve">Wochenplan</t>
  </si>
  <si>
    <t xml:space="preserve">Woche</t>
  </si>
  <si>
    <t xml:space="preserve">Zeitraum</t>
  </si>
  <si>
    <t xml:space="preserve">Geplante Std.</t>
  </si>
  <si>
    <t xml:space="preserve">Aufgaben erledigt</t>
  </si>
  <si>
    <t xml:space="preserve">Status</t>
  </si>
  <si>
    <t xml:space="preserve">Meilenstein</t>
  </si>
  <si>
    <t xml:space="preserve">Vorbereitung</t>
  </si>
  <si>
    <t xml:space="preserve">bis 14.06.</t>
  </si>
  <si>
    <t xml:space="preserve">Werkzeuge &amp; Umgebung einrichten und üben</t>
  </si>
  <si>
    <t xml:space="preserve">Offen</t>
  </si>
  <si>
    <t xml:space="preserve">Woche 1</t>
  </si>
  <si>
    <t xml:space="preserve">15.06.–21.06.</t>
  </si>
  <si>
    <t xml:space="preserve">Literaturrecherche &amp; PyTorch festigen</t>
  </si>
  <si>
    <t xml:space="preserve">Woche 2</t>
  </si>
  <si>
    <t xml:space="preserve">22.06.–28.06.</t>
  </si>
  <si>
    <t xml:space="preserve">Methode festlegen &amp; Related Work entwerfen</t>
  </si>
  <si>
    <t xml:space="preserve">Woche 3</t>
  </si>
  <si>
    <t xml:space="preserve">29.06.–05.07.</t>
  </si>
  <si>
    <t xml:space="preserve">Datenpipeline &amp; Encoder</t>
  </si>
  <si>
    <t xml:space="preserve">Woche 4</t>
  </si>
  <si>
    <t xml:space="preserve">06.07.–12.07.</t>
  </si>
  <si>
    <t xml:space="preserve">Contrastive Training &amp; erste End-to-End-Pipeline</t>
  </si>
  <si>
    <t xml:space="preserve">Woche 5</t>
  </si>
  <si>
    <t xml:space="preserve">13.07.–19.07.</t>
  </si>
  <si>
    <t xml:space="preserve">Benchmark vervollständigen</t>
  </si>
  <si>
    <t xml:space="preserve">Woche 6</t>
  </si>
  <si>
    <t xml:space="preserve">20.07.–26.07.</t>
  </si>
  <si>
    <t xml:space="preserve">Hauptexperimente</t>
  </si>
  <si>
    <t xml:space="preserve">Woche 7</t>
  </si>
  <si>
    <t xml:space="preserve">27.07.–02.08.</t>
  </si>
  <si>
    <t xml:space="preserve">Sensitivitätsstudien &amp; Failure Cases</t>
  </si>
  <si>
    <t xml:space="preserve">Woche 8</t>
  </si>
  <si>
    <t xml:space="preserve">03.08.–09.08.</t>
  </si>
  <si>
    <t xml:space="preserve">Auswertung &amp; Kernkapitel</t>
  </si>
  <si>
    <t xml:space="preserve">Woche 9</t>
  </si>
  <si>
    <t xml:space="preserve">10.08.–16.08.</t>
  </si>
  <si>
    <t xml:space="preserve">Diskussion &amp; vollständiger Erstentwurf</t>
  </si>
  <si>
    <t xml:space="preserve">Woche 10</t>
  </si>
  <si>
    <t xml:space="preserve">17.08.–23.08.</t>
  </si>
  <si>
    <t xml:space="preserve">Summe</t>
  </si>
  <si>
    <t xml:space="preserve">Checkliste — alle Aufgaben</t>
  </si>
  <si>
    <t xml:space="preserve">Aufgabe</t>
  </si>
  <si>
    <t xml:space="preserve">Erledigt</t>
  </si>
  <si>
    <t xml:space="preserve">Python-Umgebung einrichten (Miniconda/venv, Jupyter/VS Code, Git)</t>
  </si>
  <si>
    <t xml:space="preserve">Nein</t>
  </si>
  <si>
    <t xml:space="preserve">numpy &amp; pandas lernen: Arrays, DataFrames, Indexing, CSV laden</t>
  </si>
  <si>
    <t xml:space="preserve">matplotlib lernen: Scatterplots, Histogramme, Lernkurven</t>
  </si>
  <si>
    <t xml:space="preserve">scikit-learn lernen: StandardScaler, KMeans, NMI/ARI/Silhouette</t>
  </si>
  <si>
    <t xml:space="preserve">Mini-Projekt: Iris/Digits clustern, NMI/ARI berechnen, Embedding plotten</t>
  </si>
  <si>
    <t xml:space="preserve">PyTorch-Einstieg: Tensoren &amp; Autograd (60-Minute-Blitz)</t>
  </si>
  <si>
    <t xml:space="preserve">SCARF (Bahri et al., 2022) einmal überfliegen</t>
  </si>
  <si>
    <t xml:space="preserve">SCARF (Bahri et al., 2022) gründlich lesen</t>
  </si>
  <si>
    <t xml:space="preserve">Augmentation-Survey (Wang et al., 2025) querlesen</t>
  </si>
  <si>
    <t xml:space="preserve">3–4 weitere Quellen sichten (VIME, SubTab, DEC/IDEC, SimCLR)</t>
  </si>
  <si>
    <t xml:space="preserve">Literaturnotizen strukturieren, bib-refs.bib pflegen</t>
  </si>
  <si>
    <t xml:space="preserve">PyTorch festigen: nn.Module, Dataset/DataLoader, Trainingsschleife</t>
  </si>
  <si>
    <t xml:space="preserve">Übung: einfaches MLP auf einem Tabellendatensatz trainieren</t>
  </si>
  <si>
    <t xml:space="preserve">Methodik fixieren: contrastive Pretraining (MLP-Encoder) + k-Means</t>
  </si>
  <si>
    <t xml:space="preserve">3–4 Tabellendatensätze mit Ground-Truth-Labels auswählen</t>
  </si>
  <si>
    <t xml:space="preserve">Gliederung festlegen; Related-Work-Rohentwurf schreiben</t>
  </si>
  <si>
    <t xml:space="preserve">Betreuer-Termin: Methode, Datensätze und Scope abstimmen</t>
  </si>
  <si>
    <t xml:space="preserve">Datenmodul: Laden, Preprocessing, Train/Test-Split</t>
  </si>
  <si>
    <t xml:space="preserve">Augmentierungsmodul-Grundgerüst: Feature Masking/Corruption (SCARF)</t>
  </si>
  <si>
    <t xml:space="preserve">Encoder-Netzwerk (MLP) implementieren</t>
  </si>
  <si>
    <t xml:space="preserve">Contrastive Loss implementieren (NT-Xent / InfoNCE)</t>
  </si>
  <si>
    <t xml:space="preserve">Trainingsschleife zusammensetzen</t>
  </si>
  <si>
    <t xml:space="preserve">Erster End-to-End-Durchlauf: 1 Datensatz, 1 Augmentierung</t>
  </si>
  <si>
    <t xml:space="preserve">Debugging &amp; Sanity-Checks (Loss, Embedding-Qualität)</t>
  </si>
  <si>
    <t xml:space="preserve">Weitere Augmentierungen: Gaussian Noise, Feature Swapping, Zeroing/Mixup</t>
  </si>
  <si>
    <t xml:space="preserve">Reproduzierbarkeit: Seeds, Konfigurationsdateien, CSV-Logging</t>
  </si>
  <si>
    <t xml:space="preserve">Code auf alle Datensätze ausweiten und aufräumen</t>
  </si>
  <si>
    <t xml:space="preserve">Pufferzeit für Debugging</t>
  </si>
  <si>
    <t xml:space="preserve">Vollständige Experimente: alle Augmentierungen × Datensätze × Seeds</t>
  </si>
  <si>
    <t xml:space="preserve">Google Colab für GPU-Beschleunigung nutzen</t>
  </si>
  <si>
    <t xml:space="preserve">Ergebnisse systematisch ablegen</t>
  </si>
  <si>
    <t xml:space="preserve">Sensitivitätsstudien: Masking-Rate, Augmentierungsstärke, Embedding-Dim.</t>
  </si>
  <si>
    <t xml:space="preserve">Limitierungen und Failure Cases untersuchen</t>
  </si>
  <si>
    <t xml:space="preserve">Ergebnisse in Tabellen und Abbildungen aufbereiten</t>
  </si>
  <si>
    <t xml:space="preserve">Betreuer-Termin: Ergebnisse besprechen</t>
  </si>
  <si>
    <t xml:space="preserve">Ergebnisse analysieren: welche Augmentierung hilft/schadet</t>
  </si>
  <si>
    <t xml:space="preserve">Kapitel „Methodik“ schreiben (LaTeX)</t>
  </si>
  <si>
    <t xml:space="preserve">Kapitel „Experimente &amp; Ergebnisse“ schreiben</t>
  </si>
  <si>
    <t xml:space="preserve">Kapitel „Diskussion“ schreiben</t>
  </si>
  <si>
    <t xml:space="preserve">Einleitung, Related Work, Fazit &amp; Ausblick, Abstract schreiben</t>
  </si>
  <si>
    <t xml:space="preserve">Gesamtdokument zusammenführen, an Betreuer übergeben</t>
  </si>
  <si>
    <t xml:space="preserve">Betreuer-Feedback einarbeiten</t>
  </si>
  <si>
    <t xml:space="preserve">Korrekturlesen: Sprache, Konsistenz, roter Faden</t>
  </si>
  <si>
    <t xml:space="preserve">LaTeX-Feinschliff: Formatierung, Referenzen (biber), Verzeichnisse</t>
  </si>
  <si>
    <t xml:space="preserve">Eigenständigkeitserklärung &amp; finale Checks</t>
  </si>
  <si>
    <t xml:space="preserve">Puffer für Unvorhergesehenes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</si>
</sst>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&quot; h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CE6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3B5BA5"/>
        <bgColor rgb="FF2E75B6"/>
      </patternFill>
    </fill>
    <fill>
      <patternFill patternType="solid">
        <fgColor rgb="FF70AD47"/>
        <bgColor rgb="FF99CC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C0504D"/>
        <bgColor rgb="FF993366"/>
      </patternFill>
    </fill>
    <fill>
      <patternFill patternType="solid">
        <fgColor rgb="FFFFE699"/>
        <bgColor rgb="FFFFEB9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1B5E2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7F60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808080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F6000"/>
      <rgbColor rgb="FF800080"/>
      <rgbColor rgb="FF008080"/>
      <rgbColor rgb="FFBFBFBF"/>
      <rgbColor rgb="FF808080"/>
      <rgbColor rgb="FF9999FF"/>
      <rgbColor rgb="FFC0504D"/>
      <rgbColor rgb="FFF2F2F2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E699"/>
      <rgbColor rgb="FF2E75B6"/>
      <rgbColor rgb="FF33CCCC"/>
      <rgbColor rgb="FF99CC00"/>
      <rgbColor rgb="FFFFC000"/>
      <rgbColor rgb="FFFF9900"/>
      <rgbColor rgb="FFED7D31"/>
      <rgbColor rgb="FF595959"/>
      <rgbColor rgb="FF7F7F7F"/>
      <rgbColor rgb="FF1F3864"/>
      <rgbColor rgb="FF70AD47"/>
      <rgbColor rgb="FF003300"/>
      <rgbColor rgb="FF333300"/>
      <rgbColor rgb="FF993300"/>
      <rgbColor rgb="FF993366"/>
      <rgbColor rgb="FF3B5BA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13" min="3" style="0" width="7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5" t="s">
        <v>12</v>
      </c>
      <c r="B9" s="5"/>
      <c r="C9" s="6" t="n">
        <f aca="false">COUNTIF(Checkliste!D4:D49,"Ja")/46</f>
        <v>0</v>
      </c>
      <c r="D9" s="6"/>
      <c r="E9" s="6"/>
      <c r="F9" s="6"/>
      <c r="G9" s="6"/>
      <c r="H9" s="6"/>
      <c r="I9" s="6"/>
    </row>
    <row r="11" customFormat="false" ht="15" hidden="false" customHeight="false" outlineLevel="0" collapsed="false">
      <c r="A11" s="7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customFormat="false" ht="27.75" hidden="false" customHeight="true" outlineLevel="0" collapsed="false">
      <c r="A12" s="8" t="s">
        <v>14</v>
      </c>
      <c r="B12" s="8" t="s">
        <v>15</v>
      </c>
      <c r="C12" s="9" t="s">
        <v>16</v>
      </c>
      <c r="D12" s="9" t="s">
        <v>17</v>
      </c>
      <c r="E12" s="9" t="s">
        <v>18</v>
      </c>
      <c r="F12" s="9" t="s">
        <v>19</v>
      </c>
      <c r="G12" s="9" t="s">
        <v>20</v>
      </c>
      <c r="H12" s="9" t="s">
        <v>21</v>
      </c>
      <c r="I12" s="9" t="s">
        <v>22</v>
      </c>
      <c r="J12" s="9" t="s">
        <v>23</v>
      </c>
      <c r="K12" s="9" t="s">
        <v>24</v>
      </c>
      <c r="L12" s="9" t="s">
        <v>25</v>
      </c>
      <c r="M12" s="9" t="s">
        <v>26</v>
      </c>
    </row>
    <row r="13" customFormat="false" ht="15" hidden="false" customHeight="false" outlineLevel="0" collapsed="false">
      <c r="A13" s="10" t="s">
        <v>27</v>
      </c>
      <c r="B13" s="11" t="s">
        <v>28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customFormat="false" ht="15" hidden="false" customHeight="false" outlineLevel="0" collapsed="false">
      <c r="A14" s="14" t="s">
        <v>29</v>
      </c>
      <c r="B14" s="11" t="s">
        <v>30</v>
      </c>
      <c r="C14" s="13"/>
      <c r="D14" s="15"/>
      <c r="E14" s="15"/>
      <c r="F14" s="13"/>
      <c r="G14" s="13"/>
      <c r="H14" s="13"/>
      <c r="I14" s="13"/>
      <c r="J14" s="13"/>
      <c r="K14" s="13"/>
      <c r="L14" s="13"/>
      <c r="M14" s="13"/>
    </row>
    <row r="15" customFormat="false" ht="15" hidden="false" customHeight="false" outlineLevel="0" collapsed="false">
      <c r="A15" s="16" t="s">
        <v>31</v>
      </c>
      <c r="B15" s="11" t="s">
        <v>32</v>
      </c>
      <c r="C15" s="13"/>
      <c r="D15" s="13"/>
      <c r="E15" s="13"/>
      <c r="F15" s="17"/>
      <c r="G15" s="17"/>
      <c r="H15" s="17"/>
      <c r="I15" s="13"/>
      <c r="J15" s="13"/>
      <c r="K15" s="13"/>
      <c r="L15" s="13"/>
      <c r="M15" s="13"/>
    </row>
    <row r="16" customFormat="false" ht="15" hidden="false" customHeight="false" outlineLevel="0" collapsed="false">
      <c r="A16" s="18" t="s">
        <v>33</v>
      </c>
      <c r="B16" s="11" t="s">
        <v>34</v>
      </c>
      <c r="C16" s="13"/>
      <c r="D16" s="13"/>
      <c r="E16" s="13"/>
      <c r="F16" s="13"/>
      <c r="G16" s="13"/>
      <c r="H16" s="13"/>
      <c r="I16" s="19"/>
      <c r="J16" s="19"/>
      <c r="K16" s="13"/>
      <c r="L16" s="13"/>
      <c r="M16" s="13"/>
    </row>
    <row r="17" customFormat="false" ht="15" hidden="false" customHeight="false" outlineLevel="0" collapsed="false">
      <c r="A17" s="20" t="s">
        <v>35</v>
      </c>
      <c r="B17" s="11" t="s">
        <v>36</v>
      </c>
      <c r="C17" s="13"/>
      <c r="D17" s="13"/>
      <c r="E17" s="13"/>
      <c r="F17" s="13"/>
      <c r="G17" s="13"/>
      <c r="H17" s="13"/>
      <c r="I17" s="13"/>
      <c r="J17" s="13"/>
      <c r="K17" s="21"/>
      <c r="L17" s="21"/>
      <c r="M17" s="13"/>
    </row>
    <row r="18" customFormat="false" ht="15" hidden="false" customHeight="false" outlineLevel="0" collapsed="false">
      <c r="A18" s="22" t="s">
        <v>37</v>
      </c>
      <c r="B18" s="11" t="s">
        <v>38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3"/>
    </row>
    <row r="19" customFormat="false" ht="15" hidden="false" customHeight="false" outlineLevel="0" collapsed="false">
      <c r="A19" s="24" t="s">
        <v>39</v>
      </c>
      <c r="B19" s="25" t="s">
        <v>40</v>
      </c>
      <c r="C19" s="13"/>
      <c r="D19" s="26" t="s">
        <v>41</v>
      </c>
      <c r="E19" s="26" t="s">
        <v>42</v>
      </c>
      <c r="F19" s="13"/>
      <c r="G19" s="26" t="s">
        <v>43</v>
      </c>
      <c r="H19" s="13"/>
      <c r="I19" s="13"/>
      <c r="J19" s="26" t="s">
        <v>44</v>
      </c>
      <c r="K19" s="13"/>
      <c r="L19" s="26" t="s">
        <v>45</v>
      </c>
      <c r="M19" s="26" t="s">
        <v>46</v>
      </c>
    </row>
    <row r="21" customFormat="false" ht="30" hidden="false" customHeight="true" outlineLevel="0" collapsed="false">
      <c r="A21" s="27" t="s">
        <v>47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</sheetData>
  <mergeCells count="16">
    <mergeCell ref="A1:M1"/>
    <mergeCell ref="A2:M2"/>
    <mergeCell ref="A4:B4"/>
    <mergeCell ref="C4:I4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1:M11"/>
    <mergeCell ref="A21:M2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28" t="s">
        <v>48</v>
      </c>
      <c r="B1" s="28"/>
      <c r="C1" s="28"/>
      <c r="D1" s="28"/>
      <c r="E1" s="28"/>
      <c r="F1" s="28"/>
      <c r="G1" s="28"/>
      <c r="H1" s="28"/>
    </row>
    <row r="3" customFormat="false" ht="25.5" hidden="false" customHeight="true" outlineLevel="0" collapsed="false">
      <c r="A3" s="29" t="s">
        <v>49</v>
      </c>
      <c r="B3" s="29" t="s">
        <v>50</v>
      </c>
      <c r="C3" s="29" t="s">
        <v>14</v>
      </c>
      <c r="D3" s="29" t="s">
        <v>15</v>
      </c>
      <c r="E3" s="29" t="s">
        <v>51</v>
      </c>
      <c r="F3" s="29" t="s">
        <v>52</v>
      </c>
      <c r="G3" s="29" t="s">
        <v>53</v>
      </c>
      <c r="H3" s="29" t="s">
        <v>54</v>
      </c>
    </row>
    <row r="4" customFormat="false" ht="30" hidden="false" customHeight="true" outlineLevel="0" collapsed="false">
      <c r="A4" s="30" t="s">
        <v>55</v>
      </c>
      <c r="B4" s="31" t="s">
        <v>56</v>
      </c>
      <c r="C4" s="10" t="s">
        <v>27</v>
      </c>
      <c r="D4" s="32" t="s">
        <v>57</v>
      </c>
      <c r="E4" s="31"/>
      <c r="F4" s="31" t="str">
        <f aca="false">COUNTIFS(Checkliste!$A$4:$A$49,0,Checkliste!$D$4:$D$49,"Ja")&amp;" / "&amp;COUNTIF(Checkliste!$A$4:$A$49,0)</f>
        <v>0 / 7</v>
      </c>
      <c r="G4" s="31" t="s">
        <v>58</v>
      </c>
      <c r="H4" s="31"/>
    </row>
    <row r="5" customFormat="false" ht="30" hidden="false" customHeight="true" outlineLevel="0" collapsed="false">
      <c r="A5" s="33" t="s">
        <v>59</v>
      </c>
      <c r="B5" s="34" t="s">
        <v>60</v>
      </c>
      <c r="C5" s="14" t="s">
        <v>29</v>
      </c>
      <c r="D5" s="35" t="s">
        <v>61</v>
      </c>
      <c r="E5" s="36" t="n">
        <v>22</v>
      </c>
      <c r="F5" s="34" t="str">
        <f aca="false">COUNTIFS(Checkliste!$A$4:$A$49,1,Checkliste!$D$4:$D$49,"Ja")&amp;" / "&amp;COUNTIF(Checkliste!$A$4:$A$49,1)</f>
        <v>0 / 6</v>
      </c>
      <c r="G5" s="34" t="s">
        <v>58</v>
      </c>
      <c r="H5" s="37" t="s">
        <v>41</v>
      </c>
    </row>
    <row r="6" customFormat="false" ht="30" hidden="false" customHeight="true" outlineLevel="0" collapsed="false">
      <c r="A6" s="33" t="s">
        <v>62</v>
      </c>
      <c r="B6" s="34" t="s">
        <v>63</v>
      </c>
      <c r="C6" s="14" t="s">
        <v>29</v>
      </c>
      <c r="D6" s="35" t="s">
        <v>64</v>
      </c>
      <c r="E6" s="36" t="n">
        <v>22</v>
      </c>
      <c r="F6" s="34" t="str">
        <f aca="false">COUNTIFS(Checkliste!$A$4:$A$49,2,Checkliste!$D$4:$D$49,"Ja")&amp;" / "&amp;COUNTIF(Checkliste!$A$4:$A$49,2)</f>
        <v>0 / 4</v>
      </c>
      <c r="G6" s="34" t="s">
        <v>58</v>
      </c>
      <c r="H6" s="37" t="s">
        <v>42</v>
      </c>
    </row>
    <row r="7" customFormat="false" ht="30" hidden="false" customHeight="true" outlineLevel="0" collapsed="false">
      <c r="A7" s="33" t="s">
        <v>65</v>
      </c>
      <c r="B7" s="34" t="s">
        <v>66</v>
      </c>
      <c r="C7" s="16" t="s">
        <v>31</v>
      </c>
      <c r="D7" s="35" t="s">
        <v>67</v>
      </c>
      <c r="E7" s="36" t="n">
        <v>22</v>
      </c>
      <c r="F7" s="34" t="str">
        <f aca="false">COUNTIFS(Checkliste!$A$4:$A$49,3,Checkliste!$D$4:$D$49,"Ja")&amp;" / "&amp;COUNTIF(Checkliste!$A$4:$A$49,3)</f>
        <v>0 / 3</v>
      </c>
      <c r="G7" s="34" t="s">
        <v>58</v>
      </c>
      <c r="H7" s="34"/>
    </row>
    <row r="8" customFormat="false" ht="30" hidden="false" customHeight="true" outlineLevel="0" collapsed="false">
      <c r="A8" s="33" t="s">
        <v>68</v>
      </c>
      <c r="B8" s="34" t="s">
        <v>69</v>
      </c>
      <c r="C8" s="16" t="s">
        <v>31</v>
      </c>
      <c r="D8" s="35" t="s">
        <v>70</v>
      </c>
      <c r="E8" s="36" t="n">
        <v>22</v>
      </c>
      <c r="F8" s="34" t="str">
        <f aca="false">COUNTIFS(Checkliste!$A$4:$A$49,4,Checkliste!$D$4:$D$49,"Ja")&amp;" / "&amp;COUNTIF(Checkliste!$A$4:$A$49,4)</f>
        <v>0 / 4</v>
      </c>
      <c r="G8" s="34" t="s">
        <v>58</v>
      </c>
      <c r="H8" s="37" t="s">
        <v>43</v>
      </c>
    </row>
    <row r="9" customFormat="false" ht="30" hidden="false" customHeight="true" outlineLevel="0" collapsed="false">
      <c r="A9" s="33" t="s">
        <v>71</v>
      </c>
      <c r="B9" s="34" t="s">
        <v>72</v>
      </c>
      <c r="C9" s="16" t="s">
        <v>31</v>
      </c>
      <c r="D9" s="35" t="s">
        <v>73</v>
      </c>
      <c r="E9" s="36" t="n">
        <v>22</v>
      </c>
      <c r="F9" s="34" t="str">
        <f aca="false">COUNTIFS(Checkliste!$A$4:$A$49,5,Checkliste!$D$4:$D$49,"Ja")&amp;" / "&amp;COUNTIF(Checkliste!$A$4:$A$49,5)</f>
        <v>0 / 4</v>
      </c>
      <c r="G9" s="34" t="s">
        <v>58</v>
      </c>
      <c r="H9" s="34"/>
    </row>
    <row r="10" customFormat="false" ht="30" hidden="false" customHeight="true" outlineLevel="0" collapsed="false">
      <c r="A10" s="33" t="s">
        <v>74</v>
      </c>
      <c r="B10" s="34" t="s">
        <v>75</v>
      </c>
      <c r="C10" s="18" t="s">
        <v>33</v>
      </c>
      <c r="D10" s="35" t="s">
        <v>76</v>
      </c>
      <c r="E10" s="36" t="n">
        <v>22</v>
      </c>
      <c r="F10" s="34" t="str">
        <f aca="false">COUNTIFS(Checkliste!$A$4:$A$49,6,Checkliste!$D$4:$D$49,"Ja")&amp;" / "&amp;COUNTIF(Checkliste!$A$4:$A$49,6)</f>
        <v>0 / 3</v>
      </c>
      <c r="G10" s="34" t="s">
        <v>58</v>
      </c>
      <c r="H10" s="34"/>
    </row>
    <row r="11" customFormat="false" ht="30" hidden="false" customHeight="true" outlineLevel="0" collapsed="false">
      <c r="A11" s="33" t="s">
        <v>77</v>
      </c>
      <c r="B11" s="34" t="s">
        <v>78</v>
      </c>
      <c r="C11" s="18" t="s">
        <v>33</v>
      </c>
      <c r="D11" s="35" t="s">
        <v>79</v>
      </c>
      <c r="E11" s="36" t="n">
        <v>22</v>
      </c>
      <c r="F11" s="34" t="str">
        <f aca="false">COUNTIFS(Checkliste!$A$4:$A$49,7,Checkliste!$D$4:$D$49,"Ja")&amp;" / "&amp;COUNTIF(Checkliste!$A$4:$A$49,7)</f>
        <v>0 / 4</v>
      </c>
      <c r="G11" s="34" t="s">
        <v>58</v>
      </c>
      <c r="H11" s="37" t="s">
        <v>44</v>
      </c>
    </row>
    <row r="12" customFormat="false" ht="30" hidden="false" customHeight="true" outlineLevel="0" collapsed="false">
      <c r="A12" s="33" t="s">
        <v>80</v>
      </c>
      <c r="B12" s="34" t="s">
        <v>81</v>
      </c>
      <c r="C12" s="20" t="s">
        <v>35</v>
      </c>
      <c r="D12" s="35" t="s">
        <v>82</v>
      </c>
      <c r="E12" s="36" t="n">
        <v>22</v>
      </c>
      <c r="F12" s="34" t="str">
        <f aca="false">COUNTIFS(Checkliste!$A$4:$A$49,8,Checkliste!$D$4:$D$49,"Ja")&amp;" / "&amp;COUNTIF(Checkliste!$A$4:$A$49,8)</f>
        <v>0 / 3</v>
      </c>
      <c r="G12" s="34" t="s">
        <v>58</v>
      </c>
      <c r="H12" s="34"/>
    </row>
    <row r="13" customFormat="false" ht="30" hidden="false" customHeight="true" outlineLevel="0" collapsed="false">
      <c r="A13" s="33" t="s">
        <v>83</v>
      </c>
      <c r="B13" s="34" t="s">
        <v>84</v>
      </c>
      <c r="C13" s="20" t="s">
        <v>35</v>
      </c>
      <c r="D13" s="35" t="s">
        <v>85</v>
      </c>
      <c r="E13" s="36" t="n">
        <v>22</v>
      </c>
      <c r="F13" s="34" t="str">
        <f aca="false">COUNTIFS(Checkliste!$A$4:$A$49,9,Checkliste!$D$4:$D$49,"Ja")&amp;" / "&amp;COUNTIF(Checkliste!$A$4:$A$49,9)</f>
        <v>0 / 3</v>
      </c>
      <c r="G13" s="34" t="s">
        <v>58</v>
      </c>
      <c r="H13" s="37" t="s">
        <v>45</v>
      </c>
    </row>
    <row r="14" customFormat="false" ht="30" hidden="false" customHeight="true" outlineLevel="0" collapsed="false">
      <c r="A14" s="33" t="s">
        <v>86</v>
      </c>
      <c r="B14" s="34" t="s">
        <v>87</v>
      </c>
      <c r="C14" s="22" t="s">
        <v>37</v>
      </c>
      <c r="D14" s="35" t="s">
        <v>38</v>
      </c>
      <c r="E14" s="36" t="n">
        <v>22</v>
      </c>
      <c r="F14" s="34" t="str">
        <f aca="false">COUNTIFS(Checkliste!$A$4:$A$49,10,Checkliste!$D$4:$D$49,"Ja")&amp;" / "&amp;COUNTIF(Checkliste!$A$4:$A$49,10)</f>
        <v>0 / 5</v>
      </c>
      <c r="G14" s="34" t="s">
        <v>58</v>
      </c>
      <c r="H14" s="37" t="s">
        <v>46</v>
      </c>
    </row>
    <row r="15" customFormat="false" ht="15" hidden="false" customHeight="false" outlineLevel="0" collapsed="false">
      <c r="D15" s="38" t="s">
        <v>88</v>
      </c>
      <c r="E15" s="39" t="n">
        <f aca="false">SUM(E5:E14)</f>
        <v>220</v>
      </c>
    </row>
  </sheetData>
  <mergeCells count="1">
    <mergeCell ref="A1:H1"/>
  </mergeCells>
  <conditionalFormatting sqref="G4:G14">
    <cfRule type="cellIs" priority="2" operator="equal" aboveAverage="0" equalAverage="0" bottom="0" percent="0" rank="0" text="" dxfId="0">
      <formula>"Erledigt"</formula>
    </cfRule>
    <cfRule type="cellIs" priority="3" operator="equal" aboveAverage="0" equalAverage="0" bottom="0" percent="0" rank="0" text="" dxfId="1">
      <formula>"In Arbeit"</formula>
    </cfRule>
    <cfRule type="cellIs" priority="4" operator="equal" aboveAverage="0" equalAverage="0" bottom="0" percent="0" rank="0" text="" dxfId="2">
      <formula>"Offen"</formula>
    </cfRule>
  </conditionalFormatting>
  <dataValidations count="1">
    <dataValidation allowBlank="true" errorStyle="stop" operator="between" showDropDown="false" showErrorMessage="false" showInputMessage="false" sqref="G4:G14" type="list">
      <formula1>"Offen,In Arbeit,Erledigt"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78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28" t="s">
        <v>89</v>
      </c>
      <c r="B1" s="28"/>
      <c r="C1" s="28"/>
      <c r="D1" s="28"/>
    </row>
    <row r="3" customFormat="false" ht="24" hidden="false" customHeight="true" outlineLevel="0" collapsed="false">
      <c r="A3" s="29" t="s">
        <v>49</v>
      </c>
      <c r="B3" s="29" t="s">
        <v>14</v>
      </c>
      <c r="C3" s="29" t="s">
        <v>90</v>
      </c>
      <c r="D3" s="29" t="s">
        <v>91</v>
      </c>
    </row>
    <row r="4" customFormat="false" ht="15" hidden="false" customHeight="false" outlineLevel="0" collapsed="false">
      <c r="A4" s="33" t="n">
        <v>0</v>
      </c>
      <c r="B4" s="10" t="s">
        <v>27</v>
      </c>
      <c r="C4" s="35" t="s">
        <v>92</v>
      </c>
      <c r="D4" s="34" t="s">
        <v>93</v>
      </c>
    </row>
    <row r="5" customFormat="false" ht="15" hidden="false" customHeight="false" outlineLevel="0" collapsed="false">
      <c r="A5" s="33" t="n">
        <v>0</v>
      </c>
      <c r="B5" s="10" t="s">
        <v>27</v>
      </c>
      <c r="C5" s="35" t="s">
        <v>94</v>
      </c>
      <c r="D5" s="34" t="s">
        <v>93</v>
      </c>
    </row>
    <row r="6" customFormat="false" ht="15" hidden="false" customHeight="false" outlineLevel="0" collapsed="false">
      <c r="A6" s="33" t="n">
        <v>0</v>
      </c>
      <c r="B6" s="10" t="s">
        <v>27</v>
      </c>
      <c r="C6" s="35" t="s">
        <v>95</v>
      </c>
      <c r="D6" s="34" t="s">
        <v>93</v>
      </c>
    </row>
    <row r="7" customFormat="false" ht="15" hidden="false" customHeight="false" outlineLevel="0" collapsed="false">
      <c r="A7" s="33" t="n">
        <v>0</v>
      </c>
      <c r="B7" s="10" t="s">
        <v>27</v>
      </c>
      <c r="C7" s="35" t="s">
        <v>96</v>
      </c>
      <c r="D7" s="34" t="s">
        <v>93</v>
      </c>
    </row>
    <row r="8" customFormat="false" ht="15" hidden="false" customHeight="false" outlineLevel="0" collapsed="false">
      <c r="A8" s="33" t="n">
        <v>0</v>
      </c>
      <c r="B8" s="10" t="s">
        <v>27</v>
      </c>
      <c r="C8" s="35" t="s">
        <v>97</v>
      </c>
      <c r="D8" s="34" t="s">
        <v>93</v>
      </c>
    </row>
    <row r="9" customFormat="false" ht="15" hidden="false" customHeight="false" outlineLevel="0" collapsed="false">
      <c r="A9" s="33" t="n">
        <v>0</v>
      </c>
      <c r="B9" s="10" t="s">
        <v>27</v>
      </c>
      <c r="C9" s="35" t="s">
        <v>98</v>
      </c>
      <c r="D9" s="34" t="s">
        <v>93</v>
      </c>
    </row>
    <row r="10" customFormat="false" ht="15" hidden="false" customHeight="false" outlineLevel="0" collapsed="false">
      <c r="A10" s="33" t="n">
        <v>0</v>
      </c>
      <c r="B10" s="10" t="s">
        <v>27</v>
      </c>
      <c r="C10" s="35" t="s">
        <v>99</v>
      </c>
      <c r="D10" s="34" t="s">
        <v>93</v>
      </c>
    </row>
    <row r="11" customFormat="false" ht="15" hidden="false" customHeight="false" outlineLevel="0" collapsed="false">
      <c r="A11" s="33" t="n">
        <v>1</v>
      </c>
      <c r="B11" s="14" t="s">
        <v>29</v>
      </c>
      <c r="C11" s="35" t="s">
        <v>100</v>
      </c>
      <c r="D11" s="34" t="s">
        <v>93</v>
      </c>
    </row>
    <row r="12" customFormat="false" ht="15" hidden="false" customHeight="false" outlineLevel="0" collapsed="false">
      <c r="A12" s="33" t="n">
        <v>1</v>
      </c>
      <c r="B12" s="14" t="s">
        <v>29</v>
      </c>
      <c r="C12" s="35" t="s">
        <v>101</v>
      </c>
      <c r="D12" s="34" t="s">
        <v>93</v>
      </c>
    </row>
    <row r="13" customFormat="false" ht="15" hidden="false" customHeight="false" outlineLevel="0" collapsed="false">
      <c r="A13" s="33" t="n">
        <v>1</v>
      </c>
      <c r="B13" s="14" t="s">
        <v>29</v>
      </c>
      <c r="C13" s="35" t="s">
        <v>102</v>
      </c>
      <c r="D13" s="34" t="s">
        <v>93</v>
      </c>
    </row>
    <row r="14" customFormat="false" ht="15" hidden="false" customHeight="false" outlineLevel="0" collapsed="false">
      <c r="A14" s="33" t="n">
        <v>1</v>
      </c>
      <c r="B14" s="14" t="s">
        <v>29</v>
      </c>
      <c r="C14" s="35" t="s">
        <v>103</v>
      </c>
      <c r="D14" s="34" t="s">
        <v>93</v>
      </c>
    </row>
    <row r="15" customFormat="false" ht="15" hidden="false" customHeight="false" outlineLevel="0" collapsed="false">
      <c r="A15" s="33" t="n">
        <v>1</v>
      </c>
      <c r="B15" s="14" t="s">
        <v>29</v>
      </c>
      <c r="C15" s="35" t="s">
        <v>104</v>
      </c>
      <c r="D15" s="34" t="s">
        <v>93</v>
      </c>
    </row>
    <row r="16" customFormat="false" ht="15" hidden="false" customHeight="false" outlineLevel="0" collapsed="false">
      <c r="A16" s="33" t="n">
        <v>1</v>
      </c>
      <c r="B16" s="14" t="s">
        <v>29</v>
      </c>
      <c r="C16" s="35" t="s">
        <v>105</v>
      </c>
      <c r="D16" s="34" t="s">
        <v>93</v>
      </c>
    </row>
    <row r="17" customFormat="false" ht="15" hidden="false" customHeight="false" outlineLevel="0" collapsed="false">
      <c r="A17" s="33" t="n">
        <v>2</v>
      </c>
      <c r="B17" s="14" t="s">
        <v>29</v>
      </c>
      <c r="C17" s="35" t="s">
        <v>106</v>
      </c>
      <c r="D17" s="34" t="s">
        <v>93</v>
      </c>
    </row>
    <row r="18" customFormat="false" ht="15" hidden="false" customHeight="false" outlineLevel="0" collapsed="false">
      <c r="A18" s="33" t="n">
        <v>2</v>
      </c>
      <c r="B18" s="14" t="s">
        <v>29</v>
      </c>
      <c r="C18" s="35" t="s">
        <v>107</v>
      </c>
      <c r="D18" s="34" t="s">
        <v>93</v>
      </c>
    </row>
    <row r="19" customFormat="false" ht="15" hidden="false" customHeight="false" outlineLevel="0" collapsed="false">
      <c r="A19" s="33" t="n">
        <v>2</v>
      </c>
      <c r="B19" s="14" t="s">
        <v>29</v>
      </c>
      <c r="C19" s="35" t="s">
        <v>108</v>
      </c>
      <c r="D19" s="34" t="s">
        <v>93</v>
      </c>
    </row>
    <row r="20" customFormat="false" ht="15" hidden="false" customHeight="false" outlineLevel="0" collapsed="false">
      <c r="A20" s="33" t="n">
        <v>2</v>
      </c>
      <c r="B20" s="14" t="s">
        <v>29</v>
      </c>
      <c r="C20" s="35" t="s">
        <v>109</v>
      </c>
      <c r="D20" s="34" t="s">
        <v>93</v>
      </c>
    </row>
    <row r="21" customFormat="false" ht="15" hidden="false" customHeight="false" outlineLevel="0" collapsed="false">
      <c r="A21" s="33" t="n">
        <v>3</v>
      </c>
      <c r="B21" s="16" t="s">
        <v>31</v>
      </c>
      <c r="C21" s="35" t="s">
        <v>110</v>
      </c>
      <c r="D21" s="34" t="s">
        <v>93</v>
      </c>
    </row>
    <row r="22" customFormat="false" ht="15" hidden="false" customHeight="false" outlineLevel="0" collapsed="false">
      <c r="A22" s="33" t="n">
        <v>3</v>
      </c>
      <c r="B22" s="16" t="s">
        <v>31</v>
      </c>
      <c r="C22" s="35" t="s">
        <v>111</v>
      </c>
      <c r="D22" s="34" t="s">
        <v>93</v>
      </c>
    </row>
    <row r="23" customFormat="false" ht="15" hidden="false" customHeight="false" outlineLevel="0" collapsed="false">
      <c r="A23" s="33" t="n">
        <v>3</v>
      </c>
      <c r="B23" s="16" t="s">
        <v>31</v>
      </c>
      <c r="C23" s="35" t="s">
        <v>112</v>
      </c>
      <c r="D23" s="34" t="s">
        <v>93</v>
      </c>
    </row>
    <row r="24" customFormat="false" ht="15" hidden="false" customHeight="false" outlineLevel="0" collapsed="false">
      <c r="A24" s="33" t="n">
        <v>4</v>
      </c>
      <c r="B24" s="16" t="s">
        <v>31</v>
      </c>
      <c r="C24" s="35" t="s">
        <v>113</v>
      </c>
      <c r="D24" s="34" t="s">
        <v>93</v>
      </c>
    </row>
    <row r="25" customFormat="false" ht="15" hidden="false" customHeight="false" outlineLevel="0" collapsed="false">
      <c r="A25" s="33" t="n">
        <v>4</v>
      </c>
      <c r="B25" s="16" t="s">
        <v>31</v>
      </c>
      <c r="C25" s="35" t="s">
        <v>114</v>
      </c>
      <c r="D25" s="34" t="s">
        <v>93</v>
      </c>
    </row>
    <row r="26" customFormat="false" ht="15" hidden="false" customHeight="false" outlineLevel="0" collapsed="false">
      <c r="A26" s="33" t="n">
        <v>4</v>
      </c>
      <c r="B26" s="16" t="s">
        <v>31</v>
      </c>
      <c r="C26" s="35" t="s">
        <v>115</v>
      </c>
      <c r="D26" s="34" t="s">
        <v>93</v>
      </c>
    </row>
    <row r="27" customFormat="false" ht="15" hidden="false" customHeight="false" outlineLevel="0" collapsed="false">
      <c r="A27" s="33" t="n">
        <v>4</v>
      </c>
      <c r="B27" s="16" t="s">
        <v>31</v>
      </c>
      <c r="C27" s="35" t="s">
        <v>116</v>
      </c>
      <c r="D27" s="34" t="s">
        <v>93</v>
      </c>
    </row>
    <row r="28" customFormat="false" ht="15" hidden="false" customHeight="false" outlineLevel="0" collapsed="false">
      <c r="A28" s="33" t="n">
        <v>5</v>
      </c>
      <c r="B28" s="16" t="s">
        <v>31</v>
      </c>
      <c r="C28" s="35" t="s">
        <v>117</v>
      </c>
      <c r="D28" s="34" t="s">
        <v>93</v>
      </c>
    </row>
    <row r="29" customFormat="false" ht="15" hidden="false" customHeight="false" outlineLevel="0" collapsed="false">
      <c r="A29" s="33" t="n">
        <v>5</v>
      </c>
      <c r="B29" s="16" t="s">
        <v>31</v>
      </c>
      <c r="C29" s="35" t="s">
        <v>118</v>
      </c>
      <c r="D29" s="34" t="s">
        <v>93</v>
      </c>
    </row>
    <row r="30" customFormat="false" ht="15" hidden="false" customHeight="false" outlineLevel="0" collapsed="false">
      <c r="A30" s="33" t="n">
        <v>5</v>
      </c>
      <c r="B30" s="16" t="s">
        <v>31</v>
      </c>
      <c r="C30" s="35" t="s">
        <v>119</v>
      </c>
      <c r="D30" s="34" t="s">
        <v>93</v>
      </c>
    </row>
    <row r="31" customFormat="false" ht="15" hidden="false" customHeight="false" outlineLevel="0" collapsed="false">
      <c r="A31" s="33" t="n">
        <v>5</v>
      </c>
      <c r="B31" s="16" t="s">
        <v>31</v>
      </c>
      <c r="C31" s="35" t="s">
        <v>120</v>
      </c>
      <c r="D31" s="34" t="s">
        <v>93</v>
      </c>
    </row>
    <row r="32" customFormat="false" ht="15" hidden="false" customHeight="false" outlineLevel="0" collapsed="false">
      <c r="A32" s="33" t="n">
        <v>6</v>
      </c>
      <c r="B32" s="18" t="s">
        <v>33</v>
      </c>
      <c r="C32" s="35" t="s">
        <v>121</v>
      </c>
      <c r="D32" s="34" t="s">
        <v>93</v>
      </c>
    </row>
    <row r="33" customFormat="false" ht="15" hidden="false" customHeight="false" outlineLevel="0" collapsed="false">
      <c r="A33" s="33" t="n">
        <v>6</v>
      </c>
      <c r="B33" s="18" t="s">
        <v>33</v>
      </c>
      <c r="C33" s="35" t="s">
        <v>122</v>
      </c>
      <c r="D33" s="34" t="s">
        <v>93</v>
      </c>
    </row>
    <row r="34" customFormat="false" ht="15" hidden="false" customHeight="false" outlineLevel="0" collapsed="false">
      <c r="A34" s="33" t="n">
        <v>6</v>
      </c>
      <c r="B34" s="18" t="s">
        <v>33</v>
      </c>
      <c r="C34" s="35" t="s">
        <v>123</v>
      </c>
      <c r="D34" s="34" t="s">
        <v>93</v>
      </c>
    </row>
    <row r="35" customFormat="false" ht="15" hidden="false" customHeight="false" outlineLevel="0" collapsed="false">
      <c r="A35" s="33" t="n">
        <v>7</v>
      </c>
      <c r="B35" s="18" t="s">
        <v>33</v>
      </c>
      <c r="C35" s="35" t="s">
        <v>124</v>
      </c>
      <c r="D35" s="34" t="s">
        <v>93</v>
      </c>
    </row>
    <row r="36" customFormat="false" ht="15" hidden="false" customHeight="false" outlineLevel="0" collapsed="false">
      <c r="A36" s="33" t="n">
        <v>7</v>
      </c>
      <c r="B36" s="18" t="s">
        <v>33</v>
      </c>
      <c r="C36" s="35" t="s">
        <v>125</v>
      </c>
      <c r="D36" s="34" t="s">
        <v>93</v>
      </c>
    </row>
    <row r="37" customFormat="false" ht="15" hidden="false" customHeight="false" outlineLevel="0" collapsed="false">
      <c r="A37" s="33" t="n">
        <v>7</v>
      </c>
      <c r="B37" s="18" t="s">
        <v>33</v>
      </c>
      <c r="C37" s="35" t="s">
        <v>126</v>
      </c>
      <c r="D37" s="34" t="s">
        <v>93</v>
      </c>
    </row>
    <row r="38" customFormat="false" ht="15" hidden="false" customHeight="false" outlineLevel="0" collapsed="false">
      <c r="A38" s="33" t="n">
        <v>7</v>
      </c>
      <c r="B38" s="18" t="s">
        <v>33</v>
      </c>
      <c r="C38" s="35" t="s">
        <v>127</v>
      </c>
      <c r="D38" s="34" t="s">
        <v>93</v>
      </c>
    </row>
    <row r="39" customFormat="false" ht="15" hidden="false" customHeight="false" outlineLevel="0" collapsed="false">
      <c r="A39" s="33" t="n">
        <v>8</v>
      </c>
      <c r="B39" s="20" t="s">
        <v>35</v>
      </c>
      <c r="C39" s="35" t="s">
        <v>128</v>
      </c>
      <c r="D39" s="34" t="s">
        <v>93</v>
      </c>
    </row>
    <row r="40" customFormat="false" ht="15" hidden="false" customHeight="false" outlineLevel="0" collapsed="false">
      <c r="A40" s="33" t="n">
        <v>8</v>
      </c>
      <c r="B40" s="20" t="s">
        <v>35</v>
      </c>
      <c r="C40" s="35" t="s">
        <v>129</v>
      </c>
      <c r="D40" s="34" t="s">
        <v>93</v>
      </c>
    </row>
    <row r="41" customFormat="false" ht="15" hidden="false" customHeight="false" outlineLevel="0" collapsed="false">
      <c r="A41" s="33" t="n">
        <v>8</v>
      </c>
      <c r="B41" s="20" t="s">
        <v>35</v>
      </c>
      <c r="C41" s="35" t="s">
        <v>130</v>
      </c>
      <c r="D41" s="34" t="s">
        <v>93</v>
      </c>
    </row>
    <row r="42" customFormat="false" ht="15" hidden="false" customHeight="false" outlineLevel="0" collapsed="false">
      <c r="A42" s="33" t="n">
        <v>9</v>
      </c>
      <c r="B42" s="20" t="s">
        <v>35</v>
      </c>
      <c r="C42" s="35" t="s">
        <v>131</v>
      </c>
      <c r="D42" s="34" t="s">
        <v>93</v>
      </c>
    </row>
    <row r="43" customFormat="false" ht="15" hidden="false" customHeight="false" outlineLevel="0" collapsed="false">
      <c r="A43" s="33" t="n">
        <v>9</v>
      </c>
      <c r="B43" s="20" t="s">
        <v>35</v>
      </c>
      <c r="C43" s="35" t="s">
        <v>132</v>
      </c>
      <c r="D43" s="34" t="s">
        <v>93</v>
      </c>
    </row>
    <row r="44" customFormat="false" ht="15" hidden="false" customHeight="false" outlineLevel="0" collapsed="false">
      <c r="A44" s="33" t="n">
        <v>9</v>
      </c>
      <c r="B44" s="20" t="s">
        <v>35</v>
      </c>
      <c r="C44" s="35" t="s">
        <v>133</v>
      </c>
      <c r="D44" s="34" t="s">
        <v>93</v>
      </c>
    </row>
    <row r="45" customFormat="false" ht="15" hidden="false" customHeight="false" outlineLevel="0" collapsed="false">
      <c r="A45" s="33" t="n">
        <v>10</v>
      </c>
      <c r="B45" s="22" t="s">
        <v>37</v>
      </c>
      <c r="C45" s="35" t="s">
        <v>134</v>
      </c>
      <c r="D45" s="34" t="s">
        <v>93</v>
      </c>
    </row>
    <row r="46" customFormat="false" ht="15" hidden="false" customHeight="false" outlineLevel="0" collapsed="false">
      <c r="A46" s="33" t="n">
        <v>10</v>
      </c>
      <c r="B46" s="22" t="s">
        <v>37</v>
      </c>
      <c r="C46" s="35" t="s">
        <v>135</v>
      </c>
      <c r="D46" s="34" t="s">
        <v>93</v>
      </c>
    </row>
    <row r="47" customFormat="false" ht="15" hidden="false" customHeight="false" outlineLevel="0" collapsed="false">
      <c r="A47" s="33" t="n">
        <v>10</v>
      </c>
      <c r="B47" s="22" t="s">
        <v>37</v>
      </c>
      <c r="C47" s="35" t="s">
        <v>136</v>
      </c>
      <c r="D47" s="34" t="s">
        <v>93</v>
      </c>
    </row>
    <row r="48" customFormat="false" ht="15" hidden="false" customHeight="false" outlineLevel="0" collapsed="false">
      <c r="A48" s="33" t="n">
        <v>10</v>
      </c>
      <c r="B48" s="22" t="s">
        <v>37</v>
      </c>
      <c r="C48" s="35" t="s">
        <v>137</v>
      </c>
      <c r="D48" s="34" t="s">
        <v>93</v>
      </c>
    </row>
    <row r="49" customFormat="false" ht="15" hidden="false" customHeight="false" outlineLevel="0" collapsed="false">
      <c r="A49" s="33" t="n">
        <v>10</v>
      </c>
      <c r="B49" s="22" t="s">
        <v>37</v>
      </c>
      <c r="C49" s="35" t="s">
        <v>138</v>
      </c>
      <c r="D49" s="34" t="s">
        <v>93</v>
      </c>
    </row>
  </sheetData>
  <mergeCells count="1">
    <mergeCell ref="A1:D1"/>
  </mergeCells>
  <conditionalFormatting sqref="D4:D49">
    <cfRule type="cellIs" priority="2" operator="equal" aboveAverage="0" equalAverage="0" bottom="0" percent="0" rank="0" text="" dxfId="3">
      <formula>"Ja"</formula>
    </cfRule>
    <cfRule type="cellIs" priority="3" operator="equal" aboveAverage="0" equalAverage="0" bottom="0" percent="0" rank="0" text="" dxfId="2">
      <formula>"Nein"</formula>
    </cfRule>
  </conditionalFormatting>
  <dataValidations count="1">
    <dataValidation allowBlank="true" errorStyle="stop" operator="between" showDropDown="false" showErrorMessage="false" showInputMessage="false" sqref="D4:D49" type="list">
      <formula1>"Ja,Nein"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2026-05-22T08:40:56Z</dcterms:created>
  <dc:creator>openpyxl</dc:creator>
  <dc:description/>
  <dc:language>en-US</dc:language>
  <cp:lastModifiedBy/>
  <dcterms:modified xsi:type="dcterms:W3CDTF">2026-05-22T08:40:56Z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