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ernstein/Library/Mobile Documents/com~apple~CloudDocs/Studium/BachelorArbeit/plan/"/>
    </mc:Choice>
  </mc:AlternateContent>
  <xr:revisionPtr revIDLastSave="0" documentId="13_ncr:1_{192FC8FF-25F4-2B41-9329-65FEC3B4607D}" xr6:coauthVersionLast="47" xr6:coauthVersionMax="47" xr10:uidLastSave="{00000000-0000-0000-0000-000000000000}"/>
  <bookViews>
    <workbookView xWindow="4360" yWindow="660" windowWidth="25840" windowHeight="21680" tabRatio="500" activeTab="3" xr2:uid="{00000000-000D-0000-FFFF-FFFF00000000}"/>
  </bookViews>
  <sheets>
    <sheet name="Overview" sheetId="1" r:id="rId1"/>
    <sheet name="Weekly Plan" sheetId="2" r:id="rId2"/>
    <sheet name="Checklist" sheetId="3" r:id="rId3"/>
    <sheet name="Week1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F14" i="2"/>
  <c r="F13" i="2"/>
  <c r="F12" i="2"/>
  <c r="F11" i="2"/>
  <c r="F10" i="2"/>
  <c r="F9" i="2"/>
  <c r="F8" i="2"/>
  <c r="F7" i="2"/>
  <c r="F6" i="2"/>
  <c r="F5" i="2"/>
  <c r="F4" i="2"/>
  <c r="C9" i="1"/>
</calcChain>
</file>

<file path=xl/sharedStrings.xml><?xml version="1.0" encoding="utf-8"?>
<sst xmlns="http://schemas.openxmlformats.org/spreadsheetml/2006/main" count="285" uniqueCount="150">
  <si>
    <t>Bachelor's Thesis Timeline — 10-Week Tracker</t>
  </si>
  <si>
    <t>Benchmarking Tabular Data Augmentation Techniques for Deep Clustering</t>
  </si>
  <si>
    <t>Official processing time</t>
  </si>
  <si>
    <t>16 June 2026 – 25 August 2026 (10 weeks)</t>
  </si>
  <si>
    <t>Preparation phase</t>
  </si>
  <si>
    <t>until 15 June 2026 (before the official start)</t>
  </si>
  <si>
    <t>Weekly workload</t>
  </si>
  <si>
    <t>approx. 20–25 hours (part-time)</t>
  </si>
  <si>
    <t>Total effort (planned)</t>
  </si>
  <si>
    <t>approx. 220 hours (official phase)</t>
  </si>
  <si>
    <t>Submission deadline</t>
  </si>
  <si>
    <t>Monday, 25 August 2026 at the latest</t>
  </si>
  <si>
    <t>Overall progress</t>
  </si>
  <si>
    <t>Gantt overview</t>
  </si>
  <si>
    <t>Phase</t>
  </si>
  <si>
    <t>Focus</t>
  </si>
  <si>
    <t>Prep
until 14 Jun</t>
  </si>
  <si>
    <t>W1
15 Jun</t>
  </si>
  <si>
    <t>W2
22 Jun</t>
  </si>
  <si>
    <t>W3
29 Jun</t>
  </si>
  <si>
    <t>W4
6 Jul</t>
  </si>
  <si>
    <t>W5
13 Jul</t>
  </si>
  <si>
    <t>W6
20 Jul</t>
  </si>
  <si>
    <t>W7
27 Jul</t>
  </si>
  <si>
    <t>W8
3 Aug</t>
  </si>
  <si>
    <t>W9
10 Aug</t>
  </si>
  <si>
    <t>W10
17 Aug</t>
  </si>
  <si>
    <t>0</t>
  </si>
  <si>
    <t>Preparation: tools &amp; environment</t>
  </si>
  <si>
    <t>A</t>
  </si>
  <si>
    <t>Literature review &amp; conception</t>
  </si>
  <si>
    <t>B</t>
  </si>
  <si>
    <t>Implementing the benchmark</t>
  </si>
  <si>
    <t>C</t>
  </si>
  <si>
    <t>Experiments &amp; sensitivity studies</t>
  </si>
  <si>
    <t>D</t>
  </si>
  <si>
    <t>Analysis &amp; writing</t>
  </si>
  <si>
    <t>E</t>
  </si>
  <si>
    <t>Revision &amp; submission</t>
  </si>
  <si>
    <t>◆</t>
  </si>
  <si>
    <t>Milestones</t>
  </si>
  <si>
    <t>M1</t>
  </si>
  <si>
    <t>M2</t>
  </si>
  <si>
    <t>M3</t>
  </si>
  <si>
    <t>M4</t>
  </si>
  <si>
    <t>M5</t>
  </si>
  <si>
    <t>M6</t>
  </si>
  <si>
    <t>How to use: set tasks in the “Checklist” sheet to “Yes” — the overall progress above and the “Tasks done” column in the “Weekly Plan” sheet update automatically.</t>
  </si>
  <si>
    <t>Weekly Plan</t>
  </si>
  <si>
    <t>Week</t>
  </si>
  <si>
    <t>Period</t>
  </si>
  <si>
    <t>Planned hrs</t>
  </si>
  <si>
    <t>Tasks done</t>
  </si>
  <si>
    <t>Status</t>
  </si>
  <si>
    <t>Milestone</t>
  </si>
  <si>
    <t>Preparation</t>
  </si>
  <si>
    <t>until 14 Jun</t>
  </si>
  <si>
    <t>Set up and practise tools &amp; environment</t>
  </si>
  <si>
    <t>Open</t>
  </si>
  <si>
    <t>Week 1</t>
  </si>
  <si>
    <t>15–22 Jun</t>
  </si>
  <si>
    <t>Literature review &amp; consolidating PyTorch</t>
  </si>
  <si>
    <t>Week 2</t>
  </si>
  <si>
    <t>22–29 Jun</t>
  </si>
  <si>
    <t>Fixing the method &amp; drafting Related Work</t>
  </si>
  <si>
    <t>Week 3</t>
  </si>
  <si>
    <t>29 Jun–5 Jul</t>
  </si>
  <si>
    <t>Data pipeline &amp; encoder</t>
  </si>
  <si>
    <t>Week 4</t>
  </si>
  <si>
    <t>6–13 Jul</t>
  </si>
  <si>
    <t>Contrastive training &amp; first end-to-end pipeline</t>
  </si>
  <si>
    <t>Week 5</t>
  </si>
  <si>
    <t>13–19 Jul</t>
  </si>
  <si>
    <t>Completing the benchmark</t>
  </si>
  <si>
    <t>Week 6</t>
  </si>
  <si>
    <t>20–26 Jul</t>
  </si>
  <si>
    <t>Main experiments</t>
  </si>
  <si>
    <t>Week 7</t>
  </si>
  <si>
    <t>27 Jul–3 Aug</t>
  </si>
  <si>
    <t>Sensitivity studies &amp; failure cases</t>
  </si>
  <si>
    <t>Week 8</t>
  </si>
  <si>
    <t>3–9 Aug</t>
  </si>
  <si>
    <t>Analysis &amp; core chapters</t>
  </si>
  <si>
    <t>Week 9</t>
  </si>
  <si>
    <t>10–17 Aug</t>
  </si>
  <si>
    <t>Discussion &amp; complete first draft</t>
  </si>
  <si>
    <t>Week 10</t>
  </si>
  <si>
    <t>17–25 Aug</t>
  </si>
  <si>
    <t>Total</t>
  </si>
  <si>
    <t>Checklist — all tasks</t>
  </si>
  <si>
    <t>Task</t>
  </si>
  <si>
    <t>Done</t>
  </si>
  <si>
    <t>Set up the Python environment (Miniconda/venv, Jupyter/VS Code, Git)</t>
  </si>
  <si>
    <t>Yes</t>
  </si>
  <si>
    <t>Learn numpy &amp; pandas: arrays, DataFrames, indexing, loading CSV</t>
  </si>
  <si>
    <t>Learn matplotlib: scatter plots, histograms, learning curves</t>
  </si>
  <si>
    <t>Learn scikit-learn: StandardScaler, KMeans, NMI/ARI/silhouette</t>
  </si>
  <si>
    <t>No</t>
  </si>
  <si>
    <t>Mini-project: cluster Iris/Digits, compute NMI/ARI, plot embedding</t>
  </si>
  <si>
    <t>Get started with PyTorch: tensors &amp; autograd (60-Minute Blitz)</t>
  </si>
  <si>
    <t>Skim SCARF (Bahri et al., 2022) once</t>
  </si>
  <si>
    <t>Read SCARF (Bahri et al., 2022) thoroughly</t>
  </si>
  <si>
    <t>Skim the augmentation survey (Wang et al., 2025)</t>
  </si>
  <si>
    <t>Review 3–4 further sources (VIME, SubTab, DEC/IDEC, SimCLR)</t>
  </si>
  <si>
    <t>Structure literature notes, maintain bib-refs.bib</t>
  </si>
  <si>
    <t>Consolidate PyTorch: nn.Module, Dataset/DataLoader, training loop</t>
  </si>
  <si>
    <t>Exercise: train a simple MLP on a tabular dataset</t>
  </si>
  <si>
    <t>Fix the methodology: contrastive pretraining (MLP encoder) + k-means</t>
  </si>
  <si>
    <t>Select 3–4 tabular datasets with ground-truth labels</t>
  </si>
  <si>
    <t>Classify each dataset by feature type: fraction of categorical vs. numerical features; identify features with highest mutual information with cluster labels</t>
  </si>
  <si>
    <t>Define the structure; write the related-work draft</t>
  </si>
  <si>
    <t>Supervisor meeting: agree on method, datasets and scope</t>
  </si>
  <si>
    <t>Data module: loading, preprocessing, train/test split</t>
  </si>
  <si>
    <t>Augmentation module scaffold: feature masking/corruption (SCARF)</t>
  </si>
  <si>
    <t>Implement feature-type mask: categorical → marginal-distribution replacement; numerical → Gaussian noise or scaling</t>
  </si>
  <si>
    <t>Implement the encoder network (MLP)</t>
  </si>
  <si>
    <t>Implement the contrastive loss (NT-Xent / InfoNCE)</t>
  </si>
  <si>
    <t>Assemble the training loop</t>
  </si>
  <si>
    <t>First end-to-end run: 1 dataset, 1 augmentation</t>
  </si>
  <si>
    <t>Debugging &amp; sanity checks (loss, embedding quality)</t>
  </si>
  <si>
    <t>Further augmentations: Gaussian noise, feature swapping, zeroing/mixup</t>
  </si>
  <si>
    <t>Add no-augmentation baseline: identity augmentation (each row passed twice unchanged); label "Identity" in all result tables</t>
  </si>
  <si>
    <t>Add feature-type-aware pipeline as a fourth technique; label "Type-Aware" in all result tables</t>
  </si>
  <si>
    <t>Reproducibility: seeds, configuration files, CSV logging</t>
  </si>
  <si>
    <t>Extend the code to all datasets and clean it up</t>
  </si>
  <si>
    <t>Buffer time for debugging</t>
  </si>
  <si>
    <t>Full experiments: all augmentations × datasets × seeds</t>
  </si>
  <si>
    <t>Use Google Colab for GPU acceleration</t>
  </si>
  <si>
    <t>Store results systematically</t>
  </si>
  <si>
    <t>Sensitivity studies: masking rate, augmentation strength, embedding dim.</t>
  </si>
  <si>
    <t>Investigate limitations and failure cases</t>
  </si>
  <si>
    <t>Produce stratified results tables: NMI and ARI broken down by dataset taxonomy (&gt;50% categorical vs. mostly numerical)</t>
  </si>
  <si>
    <t>Prepare results as tables and figures</t>
  </si>
  <si>
    <t>Supervisor meeting: discuss the results</t>
  </si>
  <si>
    <t>Analyse results: which augmentation helps/hurts and why</t>
  </si>
  <si>
    <t>Analyse stratified results: Identity baseline vs. augmented variants on high-categorical datasets; Type-Aware pipeline improvement</t>
  </si>
  <si>
    <t>Write the "Methodology" chapter (LaTeX)</t>
  </si>
  <si>
    <t>Write the "Experiments &amp; Results" chapter</t>
  </si>
  <si>
    <t>Write the "Discussion" chapter: interpretation, contextualisation, limitations</t>
  </si>
  <si>
    <t>Write introduction, related work (finalise), conclusion &amp; outlook, abstract</t>
  </si>
  <si>
    <t>Merge the full document, hand it to the supervisor</t>
  </si>
  <si>
    <t>Incorporate supervisor feedback</t>
  </si>
  <si>
    <t>Proofread: language, consistency, narrative flow</t>
  </si>
  <si>
    <t>LaTeX polishing: formatting, references (biber), lists/indexes</t>
  </si>
  <si>
    <t>Declaration of authorship &amp; final checks</t>
  </si>
  <si>
    <t>Buffer for unforeseen issues</t>
  </si>
  <si>
    <t>In progress</t>
  </si>
  <si>
    <t>Until Sunday 22.06</t>
  </si>
  <si>
    <t>Learn Pytorch</t>
  </si>
  <si>
    <t>Skim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</si>
</sst>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h&quot;"/>
    <numFmt numFmtId="165" formatCode="0.0%"/>
  </numFmts>
  <fonts count="15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1"/>
      <color rgb="FF2E75B6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2"/>
      <color rgb="FF1F3864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3864"/>
      <name val="Arial"/>
      <charset val="1"/>
    </font>
    <font>
      <b/>
      <sz val="8"/>
      <color rgb="FF1F3864"/>
      <name val="Arial"/>
      <charset val="1"/>
    </font>
    <font>
      <sz val="9"/>
      <color rgb="FF595959"/>
      <name val="Arial"/>
      <charset val="1"/>
    </font>
    <font>
      <b/>
      <sz val="15"/>
      <color rgb="FF1F3864"/>
      <name val="Arial"/>
      <charset val="1"/>
    </font>
    <font>
      <b/>
      <sz val="10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DCE6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3B5BA5"/>
        <bgColor rgb="FF2E75B6"/>
      </patternFill>
    </fill>
    <fill>
      <patternFill patternType="solid">
        <fgColor rgb="FF70AD47"/>
        <bgColor rgb="FF99CC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C0504D"/>
        <bgColor rgb="FF993366"/>
      </patternFill>
    </fill>
    <fill>
      <patternFill patternType="solid">
        <fgColor rgb="FFFFE699"/>
        <bgColor rgb="FFFFEB9C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0" fillId="0" borderId="1" xfId="0" applyBorder="1"/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5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5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5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6" fillId="0" borderId="0" xfId="0" applyFont="1"/>
    <xf numFmtId="165" fontId="3" fillId="0" borderId="0" xfId="0" applyNumberFormat="1" applyFont="1" applyAlignment="1">
      <alignment horizontal="left" vertic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2" fillId="0" borderId="0" xfId="0" applyFont="1"/>
    <xf numFmtId="0" fontId="13" fillId="0" borderId="0" xfId="0" applyFont="1"/>
  </cellXfs>
  <cellStyles count="1">
    <cellStyle name="Normal" xfId="0" builtinId="0"/>
  </cellStyles>
  <dxfs count="5"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1B5E20"/>
        <name val="Arial"/>
        <charset val="1"/>
      </font>
      <fill>
        <patternFill>
          <bgColor rgb="FFC6EFCE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7F6000"/>
        <name val="Arial"/>
        <charset val="1"/>
      </font>
      <fill>
        <patternFill>
          <bgColor rgb="FFFFEB9C"/>
        </patternFill>
      </fill>
    </dxf>
    <dxf>
      <font>
        <sz val="10"/>
        <color rgb="FF1B5E2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F6000"/>
      <rgbColor rgb="FF800080"/>
      <rgbColor rgb="FF008080"/>
      <rgbColor rgb="FFBFBFBF"/>
      <rgbColor rgb="FF808080"/>
      <rgbColor rgb="FF9999FF"/>
      <rgbColor rgb="FFC0504D"/>
      <rgbColor rgb="FFF2F2F2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E699"/>
      <rgbColor rgb="FF2E75B6"/>
      <rgbColor rgb="FF33CCCC"/>
      <rgbColor rgb="FF99CC00"/>
      <rgbColor rgb="FFFFC000"/>
      <rgbColor rgb="FFFF9900"/>
      <rgbColor rgb="FFED7D31"/>
      <rgbColor rgb="FF595959"/>
      <rgbColor rgb="FF7F7F7F"/>
      <rgbColor rgb="FF1F3864"/>
      <rgbColor rgb="FF70AD47"/>
      <rgbColor rgb="FF003300"/>
      <rgbColor rgb="FF333300"/>
      <rgbColor rgb="FF993300"/>
      <rgbColor rgb="FF993366"/>
      <rgbColor rgb="FF3B5BA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1"/>
  <sheetViews>
    <sheetView showGridLines="0" topLeftCell="A8" zoomScale="211" zoomScaleNormal="100" workbookViewId="0">
      <selection activeCell="G19" sqref="G19"/>
    </sheetView>
  </sheetViews>
  <sheetFormatPr baseColWidth="10" defaultColWidth="8.6640625" defaultRowHeight="15" x14ac:dyDescent="0.2"/>
  <cols>
    <col min="1" max="1" width="9" customWidth="1"/>
    <col min="2" max="2" width="40" customWidth="1"/>
    <col min="3" max="13" width="7" customWidth="1"/>
  </cols>
  <sheetData>
    <row r="1" spans="1:13" ht="24" customHeight="1" x14ac:dyDescent="0.2">
      <c r="A1" s="35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x14ac:dyDescent="0.2">
      <c r="A2" s="39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4" spans="1:13" x14ac:dyDescent="0.2">
      <c r="A4" s="31" t="s">
        <v>2</v>
      </c>
      <c r="B4" s="32"/>
      <c r="C4" s="36" t="s">
        <v>3</v>
      </c>
      <c r="D4" s="32"/>
      <c r="E4" s="32"/>
      <c r="F4" s="32"/>
      <c r="G4" s="32"/>
      <c r="H4" s="32"/>
      <c r="I4" s="32"/>
    </row>
    <row r="5" spans="1:13" x14ac:dyDescent="0.2">
      <c r="A5" s="31" t="s">
        <v>4</v>
      </c>
      <c r="B5" s="32"/>
      <c r="C5" s="36" t="s">
        <v>5</v>
      </c>
      <c r="D5" s="32"/>
      <c r="E5" s="32"/>
      <c r="F5" s="32"/>
      <c r="G5" s="32"/>
      <c r="H5" s="32"/>
      <c r="I5" s="32"/>
    </row>
    <row r="6" spans="1:13" x14ac:dyDescent="0.2">
      <c r="A6" s="31" t="s">
        <v>6</v>
      </c>
      <c r="B6" s="32"/>
      <c r="C6" s="36" t="s">
        <v>7</v>
      </c>
      <c r="D6" s="32"/>
      <c r="E6" s="32"/>
      <c r="F6" s="32"/>
      <c r="G6" s="32"/>
      <c r="H6" s="32"/>
      <c r="I6" s="32"/>
    </row>
    <row r="7" spans="1:13" x14ac:dyDescent="0.2">
      <c r="A7" s="31" t="s">
        <v>8</v>
      </c>
      <c r="B7" s="32"/>
      <c r="C7" s="36" t="s">
        <v>9</v>
      </c>
      <c r="D7" s="32"/>
      <c r="E7" s="32"/>
      <c r="F7" s="32"/>
      <c r="G7" s="32"/>
      <c r="H7" s="32"/>
      <c r="I7" s="32"/>
    </row>
    <row r="8" spans="1:13" x14ac:dyDescent="0.2">
      <c r="A8" s="31" t="s">
        <v>10</v>
      </c>
      <c r="B8" s="32"/>
      <c r="C8" s="36" t="s">
        <v>11</v>
      </c>
      <c r="D8" s="32"/>
      <c r="E8" s="32"/>
      <c r="F8" s="32"/>
      <c r="G8" s="32"/>
      <c r="H8" s="32"/>
      <c r="I8" s="32"/>
    </row>
    <row r="9" spans="1:13" x14ac:dyDescent="0.2">
      <c r="A9" s="38" t="s">
        <v>12</v>
      </c>
      <c r="B9" s="32"/>
      <c r="C9" s="34">
        <f>COUNTIF(Checklist!D4:D55,"Yes")/52</f>
        <v>7.6923076923076927E-2</v>
      </c>
      <c r="D9" s="32"/>
      <c r="E9" s="32"/>
      <c r="F9" s="32"/>
      <c r="G9" s="32"/>
      <c r="H9" s="32"/>
      <c r="I9" s="32"/>
    </row>
    <row r="11" spans="1:13" ht="16" customHeight="1" x14ac:dyDescent="0.2">
      <c r="A11" s="33" t="s">
        <v>13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ht="27.75" customHeight="1" x14ac:dyDescent="0.2">
      <c r="A12" s="1" t="s">
        <v>14</v>
      </c>
      <c r="B12" s="1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</row>
    <row r="13" spans="1:13" x14ac:dyDescent="0.2">
      <c r="A13" s="3" t="s">
        <v>27</v>
      </c>
      <c r="B13" s="4" t="s">
        <v>28</v>
      </c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">
      <c r="A14" s="7" t="s">
        <v>29</v>
      </c>
      <c r="B14" s="4" t="s">
        <v>30</v>
      </c>
      <c r="C14" s="6"/>
      <c r="D14" s="8"/>
      <c r="E14" s="8"/>
      <c r="F14" s="6"/>
      <c r="G14" s="6"/>
      <c r="H14" s="6"/>
      <c r="I14" s="6"/>
      <c r="J14" s="6"/>
      <c r="K14" s="6"/>
      <c r="L14" s="6"/>
      <c r="M14" s="6"/>
    </row>
    <row r="15" spans="1:13" x14ac:dyDescent="0.2">
      <c r="A15" s="9" t="s">
        <v>31</v>
      </c>
      <c r="B15" s="4" t="s">
        <v>32</v>
      </c>
      <c r="C15" s="6"/>
      <c r="D15" s="6"/>
      <c r="E15" s="6"/>
      <c r="F15" s="10"/>
      <c r="G15" s="10"/>
      <c r="H15" s="10"/>
      <c r="I15" s="6"/>
      <c r="J15" s="6"/>
      <c r="K15" s="6"/>
      <c r="L15" s="6"/>
      <c r="M15" s="6"/>
    </row>
    <row r="16" spans="1:13" x14ac:dyDescent="0.2">
      <c r="A16" s="11" t="s">
        <v>33</v>
      </c>
      <c r="B16" s="4" t="s">
        <v>34</v>
      </c>
      <c r="C16" s="6"/>
      <c r="D16" s="6"/>
      <c r="E16" s="6"/>
      <c r="F16" s="6"/>
      <c r="G16" s="6"/>
      <c r="H16" s="6"/>
      <c r="I16" s="12"/>
      <c r="J16" s="12"/>
      <c r="K16" s="6"/>
      <c r="L16" s="6"/>
      <c r="M16" s="6"/>
    </row>
    <row r="17" spans="1:13" x14ac:dyDescent="0.2">
      <c r="A17" s="13" t="s">
        <v>35</v>
      </c>
      <c r="B17" s="4" t="s">
        <v>36</v>
      </c>
      <c r="C17" s="6"/>
      <c r="D17" s="6"/>
      <c r="E17" s="6"/>
      <c r="F17" s="6"/>
      <c r="G17" s="6"/>
      <c r="H17" s="6"/>
      <c r="I17" s="6"/>
      <c r="J17" s="6"/>
      <c r="K17" s="14"/>
      <c r="L17" s="14"/>
      <c r="M17" s="6"/>
    </row>
    <row r="18" spans="1:13" x14ac:dyDescent="0.2">
      <c r="A18" s="15" t="s">
        <v>37</v>
      </c>
      <c r="B18" s="4" t="s">
        <v>38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16"/>
    </row>
    <row r="19" spans="1:13" x14ac:dyDescent="0.2">
      <c r="A19" s="17" t="s">
        <v>39</v>
      </c>
      <c r="B19" s="18" t="s">
        <v>40</v>
      </c>
      <c r="C19" s="6"/>
      <c r="D19" s="19" t="s">
        <v>41</v>
      </c>
      <c r="E19" s="19" t="s">
        <v>42</v>
      </c>
      <c r="F19" s="6"/>
      <c r="G19" s="19" t="s">
        <v>43</v>
      </c>
      <c r="H19" s="6"/>
      <c r="I19" s="6"/>
      <c r="J19" s="19" t="s">
        <v>44</v>
      </c>
      <c r="K19" s="6"/>
      <c r="L19" s="19" t="s">
        <v>45</v>
      </c>
      <c r="M19" s="19" t="s">
        <v>46</v>
      </c>
    </row>
    <row r="21" spans="1:13" ht="30" customHeight="1" x14ac:dyDescent="0.2">
      <c r="A21" s="37" t="s">
        <v>47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</sheetData>
  <mergeCells count="16">
    <mergeCell ref="A21:M21"/>
    <mergeCell ref="C6:I6"/>
    <mergeCell ref="C7:I7"/>
    <mergeCell ref="A9:B9"/>
    <mergeCell ref="A8:B8"/>
    <mergeCell ref="A6:B6"/>
    <mergeCell ref="A4:B4"/>
    <mergeCell ref="A11:M11"/>
    <mergeCell ref="C9:I9"/>
    <mergeCell ref="A1:M1"/>
    <mergeCell ref="A7:B7"/>
    <mergeCell ref="C8:I8"/>
    <mergeCell ref="C4:I4"/>
    <mergeCell ref="A5:B5"/>
    <mergeCell ref="A2:M2"/>
    <mergeCell ref="C5:I5"/>
  </mergeCells>
  <printOptions horizontalCentered="1"/>
  <pageMargins left="0.4" right="0.4" top="0.5" bottom="0.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5"/>
  <sheetViews>
    <sheetView showGridLines="0" zoomScaleNormal="100" workbookViewId="0">
      <pane ySplit="3" topLeftCell="A4" activePane="bottomLeft" state="frozen"/>
      <selection pane="bottomLeft" activeCell="G5" sqref="G5"/>
    </sheetView>
  </sheetViews>
  <sheetFormatPr baseColWidth="10" defaultColWidth="8.6640625" defaultRowHeight="15" x14ac:dyDescent="0.2"/>
  <cols>
    <col min="1" max="1" width="13" customWidth="1"/>
    <col min="2" max="2" width="16" customWidth="1"/>
    <col min="3" max="3" width="7" customWidth="1"/>
    <col min="4" max="4" width="46" customWidth="1"/>
    <col min="5" max="5" width="13" customWidth="1"/>
    <col min="6" max="6" width="15" customWidth="1"/>
    <col min="7" max="7" width="14" customWidth="1"/>
    <col min="8" max="8" width="12" customWidth="1"/>
  </cols>
  <sheetData>
    <row r="1" spans="1:8" ht="21.75" customHeight="1" x14ac:dyDescent="0.2">
      <c r="A1" s="40" t="s">
        <v>48</v>
      </c>
      <c r="B1" s="32"/>
      <c r="C1" s="32"/>
      <c r="D1" s="32"/>
      <c r="E1" s="32"/>
      <c r="F1" s="32"/>
      <c r="G1" s="32"/>
      <c r="H1" s="32"/>
    </row>
    <row r="3" spans="1:8" ht="25.5" customHeight="1" x14ac:dyDescent="0.2">
      <c r="A3" s="20" t="s">
        <v>49</v>
      </c>
      <c r="B3" s="20" t="s">
        <v>50</v>
      </c>
      <c r="C3" s="20" t="s">
        <v>14</v>
      </c>
      <c r="D3" s="20" t="s">
        <v>15</v>
      </c>
      <c r="E3" s="20" t="s">
        <v>51</v>
      </c>
      <c r="F3" s="20" t="s">
        <v>52</v>
      </c>
      <c r="G3" s="20" t="s">
        <v>53</v>
      </c>
      <c r="H3" s="20" t="s">
        <v>54</v>
      </c>
    </row>
    <row r="4" spans="1:8" ht="30" customHeight="1" x14ac:dyDescent="0.2">
      <c r="A4" s="21" t="s">
        <v>55</v>
      </c>
      <c r="B4" s="22" t="s">
        <v>56</v>
      </c>
      <c r="C4" s="3" t="s">
        <v>27</v>
      </c>
      <c r="D4" s="23" t="s">
        <v>57</v>
      </c>
      <c r="E4" s="22"/>
      <c r="F4" s="22" t="str">
        <f>COUNTIFS(Checklist!$A$4:$A$55,0,Checklist!$D$4:$D$55,"Yes")&amp;" / "&amp;COUNTIF(Checklist!$A$4:$A$55,0)</f>
        <v>3 / 7</v>
      </c>
      <c r="G4" s="22" t="s">
        <v>91</v>
      </c>
      <c r="H4" s="22"/>
    </row>
    <row r="5" spans="1:8" ht="30" customHeight="1" x14ac:dyDescent="0.2">
      <c r="A5" s="24" t="s">
        <v>59</v>
      </c>
      <c r="B5" s="25" t="s">
        <v>60</v>
      </c>
      <c r="C5" s="7" t="s">
        <v>29</v>
      </c>
      <c r="D5" s="26" t="s">
        <v>61</v>
      </c>
      <c r="E5" s="27">
        <v>22</v>
      </c>
      <c r="F5" s="25" t="str">
        <f>COUNTIFS(Checklist!$A$4:$A$55,1,Checklist!$D$4:$D$55,"Yes")&amp;" / "&amp;COUNTIF(Checklist!$A$4:$A$55,1)</f>
        <v>1 / 6</v>
      </c>
      <c r="G5" s="25" t="s">
        <v>146</v>
      </c>
      <c r="H5" s="28" t="s">
        <v>41</v>
      </c>
    </row>
    <row r="6" spans="1:8" ht="30" customHeight="1" x14ac:dyDescent="0.2">
      <c r="A6" s="24" t="s">
        <v>62</v>
      </c>
      <c r="B6" s="25" t="s">
        <v>63</v>
      </c>
      <c r="C6" s="7" t="s">
        <v>29</v>
      </c>
      <c r="D6" s="26" t="s">
        <v>64</v>
      </c>
      <c r="E6" s="27">
        <v>22</v>
      </c>
      <c r="F6" s="25" t="str">
        <f>COUNTIFS(Checklist!$A$4:$A$55,2,Checklist!$D$4:$D$55,"Yes")&amp;" / "&amp;COUNTIF(Checklist!$A$4:$A$55,2)</f>
        <v>0 / 5</v>
      </c>
      <c r="G6" s="25" t="s">
        <v>58</v>
      </c>
      <c r="H6" s="28" t="s">
        <v>42</v>
      </c>
    </row>
    <row r="7" spans="1:8" ht="30" customHeight="1" x14ac:dyDescent="0.2">
      <c r="A7" s="24" t="s">
        <v>65</v>
      </c>
      <c r="B7" s="25" t="s">
        <v>66</v>
      </c>
      <c r="C7" s="9" t="s">
        <v>31</v>
      </c>
      <c r="D7" s="26" t="s">
        <v>67</v>
      </c>
      <c r="E7" s="27">
        <v>22</v>
      </c>
      <c r="F7" s="25" t="str">
        <f>COUNTIFS(Checklist!$A$4:$A$55,3,Checklist!$D$4:$D$55,"Yes")&amp;" / "&amp;COUNTIF(Checklist!$A$4:$A$55,3)</f>
        <v>0 / 4</v>
      </c>
      <c r="G7" s="25" t="s">
        <v>58</v>
      </c>
      <c r="H7" s="25"/>
    </row>
    <row r="8" spans="1:8" ht="30" customHeight="1" x14ac:dyDescent="0.2">
      <c r="A8" s="24" t="s">
        <v>68</v>
      </c>
      <c r="B8" s="25" t="s">
        <v>69</v>
      </c>
      <c r="C8" s="9" t="s">
        <v>31</v>
      </c>
      <c r="D8" s="26" t="s">
        <v>70</v>
      </c>
      <c r="E8" s="27">
        <v>22</v>
      </c>
      <c r="F8" s="25" t="str">
        <f>COUNTIFS(Checklist!$A$4:$A$55,4,Checklist!$D$4:$D$55,"Yes")&amp;" / "&amp;COUNTIF(Checklist!$A$4:$A$55,4)</f>
        <v>0 / 4</v>
      </c>
      <c r="G8" s="25" t="s">
        <v>58</v>
      </c>
      <c r="H8" s="28" t="s">
        <v>43</v>
      </c>
    </row>
    <row r="9" spans="1:8" ht="30" customHeight="1" x14ac:dyDescent="0.2">
      <c r="A9" s="24" t="s">
        <v>71</v>
      </c>
      <c r="B9" s="25" t="s">
        <v>72</v>
      </c>
      <c r="C9" s="9" t="s">
        <v>31</v>
      </c>
      <c r="D9" s="26" t="s">
        <v>73</v>
      </c>
      <c r="E9" s="27">
        <v>22</v>
      </c>
      <c r="F9" s="25" t="str">
        <f>COUNTIFS(Checklist!$A$4:$A$55,5,Checklist!$D$4:$D$55,"Yes")&amp;" / "&amp;COUNTIF(Checklist!$A$4:$A$55,5)</f>
        <v>0 / 6</v>
      </c>
      <c r="G9" s="25" t="s">
        <v>58</v>
      </c>
      <c r="H9" s="25"/>
    </row>
    <row r="10" spans="1:8" ht="30" customHeight="1" x14ac:dyDescent="0.2">
      <c r="A10" s="24" t="s">
        <v>74</v>
      </c>
      <c r="B10" s="25" t="s">
        <v>75</v>
      </c>
      <c r="C10" s="11" t="s">
        <v>33</v>
      </c>
      <c r="D10" s="26" t="s">
        <v>76</v>
      </c>
      <c r="E10" s="27">
        <v>22</v>
      </c>
      <c r="F10" s="25" t="str">
        <f>COUNTIFS(Checklist!$A$4:$A$55,6,Checklist!$D$4:$D$55,"Yes")&amp;" / "&amp;COUNTIF(Checklist!$A$4:$A$55,6)</f>
        <v>0 / 3</v>
      </c>
      <c r="G10" s="25" t="s">
        <v>58</v>
      </c>
      <c r="H10" s="25"/>
    </row>
    <row r="11" spans="1:8" ht="30" customHeight="1" x14ac:dyDescent="0.2">
      <c r="A11" s="24" t="s">
        <v>77</v>
      </c>
      <c r="B11" s="25" t="s">
        <v>78</v>
      </c>
      <c r="C11" s="11" t="s">
        <v>33</v>
      </c>
      <c r="D11" s="26" t="s">
        <v>79</v>
      </c>
      <c r="E11" s="27">
        <v>22</v>
      </c>
      <c r="F11" s="25" t="str">
        <f>COUNTIFS(Checklist!$A$4:$A$55,7,Checklist!$D$4:$D$55,"Yes")&amp;" / "&amp;COUNTIF(Checklist!$A$4:$A$55,7)</f>
        <v>0 / 5</v>
      </c>
      <c r="G11" s="25" t="s">
        <v>58</v>
      </c>
      <c r="H11" s="28" t="s">
        <v>44</v>
      </c>
    </row>
    <row r="12" spans="1:8" ht="30" customHeight="1" x14ac:dyDescent="0.2">
      <c r="A12" s="24" t="s">
        <v>80</v>
      </c>
      <c r="B12" s="25" t="s">
        <v>81</v>
      </c>
      <c r="C12" s="13" t="s">
        <v>35</v>
      </c>
      <c r="D12" s="26" t="s">
        <v>82</v>
      </c>
      <c r="E12" s="27">
        <v>22</v>
      </c>
      <c r="F12" s="25" t="str">
        <f>COUNTIFS(Checklist!$A$4:$A$55,8,Checklist!$D$4:$D$55,"Yes")&amp;" / "&amp;COUNTIF(Checklist!$A$4:$A$55,8)</f>
        <v>0 / 4</v>
      </c>
      <c r="G12" s="25" t="s">
        <v>58</v>
      </c>
      <c r="H12" s="25"/>
    </row>
    <row r="13" spans="1:8" ht="30" customHeight="1" x14ac:dyDescent="0.2">
      <c r="A13" s="24" t="s">
        <v>83</v>
      </c>
      <c r="B13" s="25" t="s">
        <v>84</v>
      </c>
      <c r="C13" s="13" t="s">
        <v>35</v>
      </c>
      <c r="D13" s="26" t="s">
        <v>85</v>
      </c>
      <c r="E13" s="27">
        <v>22</v>
      </c>
      <c r="F13" s="25" t="str">
        <f>COUNTIFS(Checklist!$A$4:$A$55,9,Checklist!$D$4:$D$55,"Yes")&amp;" / "&amp;COUNTIF(Checklist!$A$4:$A$55,9)</f>
        <v>0 / 3</v>
      </c>
      <c r="G13" s="25" t="s">
        <v>58</v>
      </c>
      <c r="H13" s="28" t="s">
        <v>45</v>
      </c>
    </row>
    <row r="14" spans="1:8" ht="30" customHeight="1" x14ac:dyDescent="0.2">
      <c r="A14" s="24" t="s">
        <v>86</v>
      </c>
      <c r="B14" s="25" t="s">
        <v>87</v>
      </c>
      <c r="C14" s="15" t="s">
        <v>37</v>
      </c>
      <c r="D14" s="26" t="s">
        <v>38</v>
      </c>
      <c r="E14" s="27">
        <v>22</v>
      </c>
      <c r="F14" s="25" t="str">
        <f>COUNTIFS(Checklist!$A$4:$A$55,10,Checklist!$D$4:$D$55,"Yes")&amp;" / "&amp;COUNTIF(Checklist!$A$4:$A$55,10)</f>
        <v>0 / 5</v>
      </c>
      <c r="G14" s="25" t="s">
        <v>58</v>
      </c>
      <c r="H14" s="28" t="s">
        <v>46</v>
      </c>
    </row>
    <row r="15" spans="1:8" x14ac:dyDescent="0.2">
      <c r="D15" s="29" t="s">
        <v>88</v>
      </c>
      <c r="E15" s="30">
        <f>SUM(E5:E14)</f>
        <v>220</v>
      </c>
    </row>
  </sheetData>
  <mergeCells count="1">
    <mergeCell ref="A1:H1"/>
  </mergeCells>
  <conditionalFormatting sqref="G4:G14">
    <cfRule type="cellIs" dxfId="4" priority="2" operator="equal">
      <formula>"Done"</formula>
    </cfRule>
    <cfRule type="cellIs" dxfId="3" priority="3" operator="equal">
      <formula>"In progress"</formula>
    </cfRule>
    <cfRule type="cellIs" dxfId="2" priority="4" operator="equal">
      <formula>"Open"</formula>
    </cfRule>
  </conditionalFormatting>
  <dataValidations count="1">
    <dataValidation type="list" allowBlank="1" sqref="G4:G14" xr:uid="{00000000-0002-0000-0100-000000000000}">
      <formula1>"Open,In progress,Done"</formula1>
      <formula2>0</formula2>
    </dataValidation>
  </dataValidations>
  <printOptions horizontalCentered="1"/>
  <pageMargins left="0.4" right="0.4" top="0.5" bottom="0.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5"/>
  <sheetViews>
    <sheetView showGridLines="0" zoomScale="216" zoomScaleNormal="100" workbookViewId="0">
      <pane ySplit="3" topLeftCell="A7" activePane="bottomLeft" state="frozen"/>
      <selection pane="bottomLeft" activeCell="D11" sqref="D11"/>
    </sheetView>
  </sheetViews>
  <sheetFormatPr baseColWidth="10" defaultColWidth="8.6640625" defaultRowHeight="15" x14ac:dyDescent="0.2"/>
  <cols>
    <col min="1" max="2" width="8" customWidth="1"/>
    <col min="3" max="3" width="78" customWidth="1"/>
    <col min="4" max="4" width="12" customWidth="1"/>
  </cols>
  <sheetData>
    <row r="1" spans="1:4" ht="21.75" customHeight="1" x14ac:dyDescent="0.2">
      <c r="A1" s="40" t="s">
        <v>89</v>
      </c>
      <c r="B1" s="32"/>
      <c r="C1" s="32"/>
      <c r="D1" s="32"/>
    </row>
    <row r="3" spans="1:4" ht="24" customHeight="1" x14ac:dyDescent="0.2">
      <c r="A3" s="20" t="s">
        <v>49</v>
      </c>
      <c r="B3" s="20" t="s">
        <v>14</v>
      </c>
      <c r="C3" s="20" t="s">
        <v>90</v>
      </c>
      <c r="D3" s="20" t="s">
        <v>91</v>
      </c>
    </row>
    <row r="4" spans="1:4" x14ac:dyDescent="0.2">
      <c r="A4" s="24">
        <v>0</v>
      </c>
      <c r="B4" s="3" t="s">
        <v>27</v>
      </c>
      <c r="C4" s="26" t="s">
        <v>92</v>
      </c>
      <c r="D4" s="25" t="s">
        <v>93</v>
      </c>
    </row>
    <row r="5" spans="1:4" x14ac:dyDescent="0.2">
      <c r="A5" s="24">
        <v>0</v>
      </c>
      <c r="B5" s="3" t="s">
        <v>27</v>
      </c>
      <c r="C5" s="26" t="s">
        <v>94</v>
      </c>
      <c r="D5" s="25" t="s">
        <v>93</v>
      </c>
    </row>
    <row r="6" spans="1:4" x14ac:dyDescent="0.2">
      <c r="A6" s="24">
        <v>0</v>
      </c>
      <c r="B6" s="3" t="s">
        <v>27</v>
      </c>
      <c r="C6" s="26" t="s">
        <v>95</v>
      </c>
      <c r="D6" s="25" t="s">
        <v>93</v>
      </c>
    </row>
    <row r="7" spans="1:4" x14ac:dyDescent="0.2">
      <c r="A7" s="24">
        <v>0</v>
      </c>
      <c r="B7" s="3" t="s">
        <v>27</v>
      </c>
      <c r="C7" s="26" t="s">
        <v>96</v>
      </c>
      <c r="D7" s="25" t="s">
        <v>97</v>
      </c>
    </row>
    <row r="8" spans="1:4" x14ac:dyDescent="0.2">
      <c r="A8" s="24">
        <v>0</v>
      </c>
      <c r="B8" s="3" t="s">
        <v>27</v>
      </c>
      <c r="C8" s="26" t="s">
        <v>98</v>
      </c>
      <c r="D8" s="25" t="s">
        <v>97</v>
      </c>
    </row>
    <row r="9" spans="1:4" x14ac:dyDescent="0.2">
      <c r="A9" s="24">
        <v>0</v>
      </c>
      <c r="B9" s="3" t="s">
        <v>27</v>
      </c>
      <c r="C9" s="26" t="s">
        <v>99</v>
      </c>
      <c r="D9" s="25" t="s">
        <v>97</v>
      </c>
    </row>
    <row r="10" spans="1:4" x14ac:dyDescent="0.2">
      <c r="A10" s="24">
        <v>0</v>
      </c>
      <c r="B10" s="3" t="s">
        <v>27</v>
      </c>
      <c r="C10" s="26" t="s">
        <v>100</v>
      </c>
      <c r="D10" s="25" t="s">
        <v>97</v>
      </c>
    </row>
    <row r="11" spans="1:4" x14ac:dyDescent="0.2">
      <c r="A11" s="24">
        <v>1</v>
      </c>
      <c r="B11" s="7" t="s">
        <v>29</v>
      </c>
      <c r="C11" s="26" t="s">
        <v>101</v>
      </c>
      <c r="D11" s="25" t="s">
        <v>93</v>
      </c>
    </row>
    <row r="12" spans="1:4" x14ac:dyDescent="0.2">
      <c r="A12" s="24">
        <v>1</v>
      </c>
      <c r="B12" s="7" t="s">
        <v>29</v>
      </c>
      <c r="C12" s="26" t="s">
        <v>102</v>
      </c>
      <c r="D12" s="25" t="s">
        <v>97</v>
      </c>
    </row>
    <row r="13" spans="1:4" x14ac:dyDescent="0.2">
      <c r="A13" s="24">
        <v>1</v>
      </c>
      <c r="B13" s="7" t="s">
        <v>29</v>
      </c>
      <c r="C13" s="26" t="s">
        <v>103</v>
      </c>
      <c r="D13" s="25" t="s">
        <v>97</v>
      </c>
    </row>
    <row r="14" spans="1:4" x14ac:dyDescent="0.2">
      <c r="A14" s="24">
        <v>1</v>
      </c>
      <c r="B14" s="7" t="s">
        <v>29</v>
      </c>
      <c r="C14" s="26" t="s">
        <v>104</v>
      </c>
      <c r="D14" s="25" t="s">
        <v>97</v>
      </c>
    </row>
    <row r="15" spans="1:4" x14ac:dyDescent="0.2">
      <c r="A15" s="24">
        <v>1</v>
      </c>
      <c r="B15" s="7" t="s">
        <v>29</v>
      </c>
      <c r="C15" s="26" t="s">
        <v>105</v>
      </c>
      <c r="D15" s="25" t="s">
        <v>97</v>
      </c>
    </row>
    <row r="16" spans="1:4" x14ac:dyDescent="0.2">
      <c r="A16" s="24">
        <v>1</v>
      </c>
      <c r="B16" s="7" t="s">
        <v>29</v>
      </c>
      <c r="C16" s="26" t="s">
        <v>106</v>
      </c>
      <c r="D16" s="25" t="s">
        <v>97</v>
      </c>
    </row>
    <row r="17" spans="1:4" x14ac:dyDescent="0.2">
      <c r="A17" s="24">
        <v>2</v>
      </c>
      <c r="B17" s="7" t="s">
        <v>29</v>
      </c>
      <c r="C17" s="26" t="s">
        <v>107</v>
      </c>
      <c r="D17" s="25" t="s">
        <v>97</v>
      </c>
    </row>
    <row r="18" spans="1:4" x14ac:dyDescent="0.2">
      <c r="A18" s="24">
        <v>2</v>
      </c>
      <c r="B18" s="7" t="s">
        <v>29</v>
      </c>
      <c r="C18" s="26" t="s">
        <v>108</v>
      </c>
      <c r="D18" s="25" t="s">
        <v>97</v>
      </c>
    </row>
    <row r="19" spans="1:4" ht="28" x14ac:dyDescent="0.2">
      <c r="A19" s="24">
        <v>2</v>
      </c>
      <c r="B19" s="7" t="s">
        <v>29</v>
      </c>
      <c r="C19" s="26" t="s">
        <v>109</v>
      </c>
      <c r="D19" s="25" t="s">
        <v>97</v>
      </c>
    </row>
    <row r="20" spans="1:4" x14ac:dyDescent="0.2">
      <c r="A20" s="24">
        <v>2</v>
      </c>
      <c r="B20" s="7" t="s">
        <v>29</v>
      </c>
      <c r="C20" s="26" t="s">
        <v>110</v>
      </c>
      <c r="D20" s="25" t="s">
        <v>97</v>
      </c>
    </row>
    <row r="21" spans="1:4" x14ac:dyDescent="0.2">
      <c r="A21" s="24">
        <v>2</v>
      </c>
      <c r="B21" s="9" t="s">
        <v>29</v>
      </c>
      <c r="C21" s="26" t="s">
        <v>111</v>
      </c>
      <c r="D21" s="25" t="s">
        <v>97</v>
      </c>
    </row>
    <row r="22" spans="1:4" x14ac:dyDescent="0.2">
      <c r="A22" s="24">
        <v>3</v>
      </c>
      <c r="B22" s="9" t="s">
        <v>31</v>
      </c>
      <c r="C22" s="26" t="s">
        <v>112</v>
      </c>
      <c r="D22" s="25" t="s">
        <v>97</v>
      </c>
    </row>
    <row r="23" spans="1:4" x14ac:dyDescent="0.2">
      <c r="A23" s="24">
        <v>3</v>
      </c>
      <c r="B23" s="9" t="s">
        <v>31</v>
      </c>
      <c r="C23" s="26" t="s">
        <v>113</v>
      </c>
      <c r="D23" s="25" t="s">
        <v>97</v>
      </c>
    </row>
    <row r="24" spans="1:4" ht="28" x14ac:dyDescent="0.2">
      <c r="A24" s="24">
        <v>3</v>
      </c>
      <c r="B24" s="9" t="s">
        <v>31</v>
      </c>
      <c r="C24" s="26" t="s">
        <v>114</v>
      </c>
      <c r="D24" s="25" t="s">
        <v>97</v>
      </c>
    </row>
    <row r="25" spans="1:4" x14ac:dyDescent="0.2">
      <c r="A25" s="24">
        <v>3</v>
      </c>
      <c r="B25" s="9" t="s">
        <v>31</v>
      </c>
      <c r="C25" s="26" t="s">
        <v>115</v>
      </c>
      <c r="D25" s="25" t="s">
        <v>97</v>
      </c>
    </row>
    <row r="26" spans="1:4" x14ac:dyDescent="0.2">
      <c r="A26" s="24">
        <v>4</v>
      </c>
      <c r="B26" s="9" t="s">
        <v>31</v>
      </c>
      <c r="C26" s="26" t="s">
        <v>116</v>
      </c>
      <c r="D26" s="25" t="s">
        <v>97</v>
      </c>
    </row>
    <row r="27" spans="1:4" x14ac:dyDescent="0.2">
      <c r="A27" s="24">
        <v>4</v>
      </c>
      <c r="B27" s="9" t="s">
        <v>31</v>
      </c>
      <c r="C27" s="26" t="s">
        <v>117</v>
      </c>
      <c r="D27" s="25" t="s">
        <v>97</v>
      </c>
    </row>
    <row r="28" spans="1:4" x14ac:dyDescent="0.2">
      <c r="A28" s="24">
        <v>4</v>
      </c>
      <c r="B28" s="9" t="s">
        <v>31</v>
      </c>
      <c r="C28" s="26" t="s">
        <v>118</v>
      </c>
      <c r="D28" s="25" t="s">
        <v>97</v>
      </c>
    </row>
    <row r="29" spans="1:4" x14ac:dyDescent="0.2">
      <c r="A29" s="24">
        <v>4</v>
      </c>
      <c r="B29" s="9" t="s">
        <v>31</v>
      </c>
      <c r="C29" s="26" t="s">
        <v>119</v>
      </c>
      <c r="D29" s="25" t="s">
        <v>97</v>
      </c>
    </row>
    <row r="30" spans="1:4" x14ac:dyDescent="0.2">
      <c r="A30" s="24">
        <v>5</v>
      </c>
      <c r="B30" s="9" t="s">
        <v>31</v>
      </c>
      <c r="C30" s="26" t="s">
        <v>120</v>
      </c>
      <c r="D30" s="25" t="s">
        <v>97</v>
      </c>
    </row>
    <row r="31" spans="1:4" ht="28" x14ac:dyDescent="0.2">
      <c r="A31" s="24">
        <v>5</v>
      </c>
      <c r="B31" s="9" t="s">
        <v>31</v>
      </c>
      <c r="C31" s="26" t="s">
        <v>121</v>
      </c>
      <c r="D31" s="25" t="s">
        <v>97</v>
      </c>
    </row>
    <row r="32" spans="1:4" x14ac:dyDescent="0.2">
      <c r="A32" s="24">
        <v>5</v>
      </c>
      <c r="B32" s="11" t="s">
        <v>31</v>
      </c>
      <c r="C32" s="26" t="s">
        <v>122</v>
      </c>
      <c r="D32" s="25" t="s">
        <v>97</v>
      </c>
    </row>
    <row r="33" spans="1:4" x14ac:dyDescent="0.2">
      <c r="A33" s="24">
        <v>5</v>
      </c>
      <c r="B33" s="11" t="s">
        <v>31</v>
      </c>
      <c r="C33" s="26" t="s">
        <v>123</v>
      </c>
      <c r="D33" s="25" t="s">
        <v>97</v>
      </c>
    </row>
    <row r="34" spans="1:4" x14ac:dyDescent="0.2">
      <c r="A34" s="24">
        <v>5</v>
      </c>
      <c r="B34" s="11" t="s">
        <v>31</v>
      </c>
      <c r="C34" s="26" t="s">
        <v>124</v>
      </c>
      <c r="D34" s="25" t="s">
        <v>97</v>
      </c>
    </row>
    <row r="35" spans="1:4" x14ac:dyDescent="0.2">
      <c r="A35" s="24">
        <v>5</v>
      </c>
      <c r="B35" s="11" t="s">
        <v>31</v>
      </c>
      <c r="C35" s="26" t="s">
        <v>125</v>
      </c>
      <c r="D35" s="25" t="s">
        <v>97</v>
      </c>
    </row>
    <row r="36" spans="1:4" x14ac:dyDescent="0.2">
      <c r="A36" s="24">
        <v>6</v>
      </c>
      <c r="B36" s="11" t="s">
        <v>33</v>
      </c>
      <c r="C36" s="26" t="s">
        <v>126</v>
      </c>
      <c r="D36" s="25" t="s">
        <v>97</v>
      </c>
    </row>
    <row r="37" spans="1:4" x14ac:dyDescent="0.2">
      <c r="A37" s="24">
        <v>6</v>
      </c>
      <c r="B37" s="11" t="s">
        <v>33</v>
      </c>
      <c r="C37" s="26" t="s">
        <v>127</v>
      </c>
      <c r="D37" s="25" t="s">
        <v>97</v>
      </c>
    </row>
    <row r="38" spans="1:4" x14ac:dyDescent="0.2">
      <c r="A38" s="24">
        <v>6</v>
      </c>
      <c r="B38" s="11" t="s">
        <v>33</v>
      </c>
      <c r="C38" s="26" t="s">
        <v>128</v>
      </c>
      <c r="D38" s="25" t="s">
        <v>97</v>
      </c>
    </row>
    <row r="39" spans="1:4" x14ac:dyDescent="0.2">
      <c r="A39" s="24">
        <v>7</v>
      </c>
      <c r="B39" s="13" t="s">
        <v>33</v>
      </c>
      <c r="C39" s="26" t="s">
        <v>129</v>
      </c>
      <c r="D39" s="25" t="s">
        <v>97</v>
      </c>
    </row>
    <row r="40" spans="1:4" x14ac:dyDescent="0.2">
      <c r="A40" s="24">
        <v>7</v>
      </c>
      <c r="B40" s="13" t="s">
        <v>33</v>
      </c>
      <c r="C40" s="26" t="s">
        <v>130</v>
      </c>
      <c r="D40" s="25" t="s">
        <v>97</v>
      </c>
    </row>
    <row r="41" spans="1:4" ht="28" x14ac:dyDescent="0.2">
      <c r="A41" s="24">
        <v>7</v>
      </c>
      <c r="B41" s="13" t="s">
        <v>33</v>
      </c>
      <c r="C41" s="26" t="s">
        <v>131</v>
      </c>
      <c r="D41" s="25" t="s">
        <v>97</v>
      </c>
    </row>
    <row r="42" spans="1:4" x14ac:dyDescent="0.2">
      <c r="A42" s="24">
        <v>7</v>
      </c>
      <c r="B42" s="13" t="s">
        <v>33</v>
      </c>
      <c r="C42" s="26" t="s">
        <v>132</v>
      </c>
      <c r="D42" s="25" t="s">
        <v>97</v>
      </c>
    </row>
    <row r="43" spans="1:4" x14ac:dyDescent="0.2">
      <c r="A43" s="24">
        <v>7</v>
      </c>
      <c r="B43" s="13" t="s">
        <v>33</v>
      </c>
      <c r="C43" s="26" t="s">
        <v>133</v>
      </c>
      <c r="D43" s="25" t="s">
        <v>97</v>
      </c>
    </row>
    <row r="44" spans="1:4" x14ac:dyDescent="0.2">
      <c r="A44" s="24">
        <v>8</v>
      </c>
      <c r="B44" s="13" t="s">
        <v>35</v>
      </c>
      <c r="C44" s="26" t="s">
        <v>134</v>
      </c>
      <c r="D44" s="25" t="s">
        <v>97</v>
      </c>
    </row>
    <row r="45" spans="1:4" ht="28" x14ac:dyDescent="0.2">
      <c r="A45" s="24">
        <v>8</v>
      </c>
      <c r="B45" s="15" t="s">
        <v>35</v>
      </c>
      <c r="C45" s="26" t="s">
        <v>135</v>
      </c>
      <c r="D45" s="25" t="s">
        <v>97</v>
      </c>
    </row>
    <row r="46" spans="1:4" x14ac:dyDescent="0.2">
      <c r="A46" s="24">
        <v>8</v>
      </c>
      <c r="B46" s="15" t="s">
        <v>35</v>
      </c>
      <c r="C46" s="26" t="s">
        <v>136</v>
      </c>
      <c r="D46" s="25" t="s">
        <v>97</v>
      </c>
    </row>
    <row r="47" spans="1:4" x14ac:dyDescent="0.2">
      <c r="A47" s="24">
        <v>8</v>
      </c>
      <c r="B47" s="15" t="s">
        <v>35</v>
      </c>
      <c r="C47" s="26" t="s">
        <v>137</v>
      </c>
      <c r="D47" s="25" t="s">
        <v>97</v>
      </c>
    </row>
    <row r="48" spans="1:4" x14ac:dyDescent="0.2">
      <c r="A48" s="24">
        <v>9</v>
      </c>
      <c r="B48" s="15" t="s">
        <v>35</v>
      </c>
      <c r="C48" s="26" t="s">
        <v>138</v>
      </c>
      <c r="D48" s="25" t="s">
        <v>97</v>
      </c>
    </row>
    <row r="49" spans="1:4" x14ac:dyDescent="0.2">
      <c r="A49" s="24">
        <v>9</v>
      </c>
      <c r="B49" s="15" t="s">
        <v>35</v>
      </c>
      <c r="C49" s="26" t="s">
        <v>139</v>
      </c>
      <c r="D49" s="25" t="s">
        <v>97</v>
      </c>
    </row>
    <row r="50" spans="1:4" x14ac:dyDescent="0.2">
      <c r="A50">
        <v>9</v>
      </c>
      <c r="B50" t="s">
        <v>35</v>
      </c>
      <c r="C50" t="s">
        <v>140</v>
      </c>
      <c r="D50" t="s">
        <v>97</v>
      </c>
    </row>
    <row r="51" spans="1:4" x14ac:dyDescent="0.2">
      <c r="A51">
        <v>10</v>
      </c>
      <c r="B51" t="s">
        <v>37</v>
      </c>
      <c r="C51" t="s">
        <v>141</v>
      </c>
      <c r="D51" t="s">
        <v>97</v>
      </c>
    </row>
    <row r="52" spans="1:4" x14ac:dyDescent="0.2">
      <c r="A52">
        <v>10</v>
      </c>
      <c r="B52" t="s">
        <v>37</v>
      </c>
      <c r="C52" t="s">
        <v>142</v>
      </c>
      <c r="D52" t="s">
        <v>97</v>
      </c>
    </row>
    <row r="53" spans="1:4" x14ac:dyDescent="0.2">
      <c r="A53">
        <v>10</v>
      </c>
      <c r="B53" t="s">
        <v>37</v>
      </c>
      <c r="C53" t="s">
        <v>143</v>
      </c>
      <c r="D53" t="s">
        <v>97</v>
      </c>
    </row>
    <row r="54" spans="1:4" x14ac:dyDescent="0.2">
      <c r="A54">
        <v>10</v>
      </c>
      <c r="B54" t="s">
        <v>37</v>
      </c>
      <c r="C54" t="s">
        <v>144</v>
      </c>
      <c r="D54" t="s">
        <v>97</v>
      </c>
    </row>
    <row r="55" spans="1:4" x14ac:dyDescent="0.2">
      <c r="A55">
        <v>10</v>
      </c>
      <c r="B55" t="s">
        <v>37</v>
      </c>
      <c r="C55" t="s">
        <v>145</v>
      </c>
      <c r="D55" t="s">
        <v>97</v>
      </c>
    </row>
  </sheetData>
  <mergeCells count="1">
    <mergeCell ref="A1:D1"/>
  </mergeCells>
  <conditionalFormatting sqref="D4:D49">
    <cfRule type="cellIs" dxfId="1" priority="2" operator="equal">
      <formula>"Yes"</formula>
    </cfRule>
    <cfRule type="cellIs" dxfId="0" priority="3" operator="equal">
      <formula>"No"</formula>
    </cfRule>
  </conditionalFormatting>
  <dataValidations count="1">
    <dataValidation type="list" allowBlank="1" sqref="D4:D49" xr:uid="{00000000-0002-0000-0200-000000000000}">
      <formula1>"Yes,No"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010C-C443-884E-9708-45F8083CAAAF}">
  <dimension ref="A1:C3"/>
  <sheetViews>
    <sheetView tabSelected="1" zoomScale="312" zoomScaleNormal="312" workbookViewId="0">
      <selection activeCell="A4" sqref="A4"/>
    </sheetView>
  </sheetViews>
  <sheetFormatPr baseColWidth="10" defaultRowHeight="15" x14ac:dyDescent="0.2"/>
  <cols>
    <col min="3" max="3" width="15.6640625" bestFit="1" customWidth="1"/>
  </cols>
  <sheetData>
    <row r="1" spans="1:3" x14ac:dyDescent="0.2">
      <c r="A1" t="s">
        <v>90</v>
      </c>
      <c r="B1" t="s">
        <v>53</v>
      </c>
      <c r="C1" t="s">
        <v>147</v>
      </c>
    </row>
    <row r="2" spans="1:3" x14ac:dyDescent="0.2">
      <c r="A2" t="s">
        <v>148</v>
      </c>
    </row>
    <row r="3" spans="1:3" x14ac:dyDescent="0.2">
      <c r="A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Weekly Plan</vt:lpstr>
      <vt:lpstr>Checklist</vt:lpstr>
      <vt:lpstr>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Hai Nguyen</cp:lastModifiedBy>
  <cp:revision>0</cp:revision>
  <dcterms:created xsi:type="dcterms:W3CDTF">2026-05-22T08:40:56Z</dcterms:created>
  <dcterms:modified xsi:type="dcterms:W3CDTF">2026-06-18T17:35:49Z</dcterms:modified>
  <dc:language>en-US</dc:language>
</cp:coreProperties>
</file>